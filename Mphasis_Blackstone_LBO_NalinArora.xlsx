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eluu/Downloads/"/>
    </mc:Choice>
  </mc:AlternateContent>
  <xr:revisionPtr revIDLastSave="0" documentId="13_ncr:1_{F9E195DF-A150-3B42-84AD-9347FFC4D47C}" xr6:coauthVersionLast="47" xr6:coauthVersionMax="47" xr10:uidLastSave="{00000000-0000-0000-0000-000000000000}"/>
  <bookViews>
    <workbookView xWindow="0" yWindow="780" windowWidth="34200" windowHeight="19720" xr2:uid="{A469845D-959C-4A7C-80E1-18863DB1EFCC}"/>
  </bookViews>
  <sheets>
    <sheet name="LBO " sheetId="4" r:id="rId1"/>
    <sheet name="Shares" sheetId="3" r:id="rId2"/>
  </sheets>
  <definedNames>
    <definedName name="CASE" localSheetId="0">'LBO '!#REF!</definedName>
    <definedName name="CASE">#REF!</definedName>
    <definedName name="CIRC" localSheetId="0">'LBO '!#REF!</definedName>
    <definedName name="CIRC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" i="4" l="1"/>
  <c r="J105" i="4"/>
  <c r="K102" i="4"/>
  <c r="J102" i="4"/>
  <c r="K101" i="4"/>
  <c r="K110" i="4" s="1"/>
  <c r="J101" i="4"/>
  <c r="J110" i="4" s="1"/>
  <c r="F138" i="4"/>
  <c r="I105" i="4"/>
  <c r="H105" i="4"/>
  <c r="I102" i="4"/>
  <c r="H102" i="4"/>
  <c r="I101" i="4"/>
  <c r="I110" i="4" s="1"/>
  <c r="H101" i="4"/>
  <c r="H110" i="4" s="1"/>
  <c r="G105" i="4"/>
  <c r="F105" i="4"/>
  <c r="G101" i="4"/>
  <c r="F101" i="4"/>
  <c r="G99" i="4"/>
  <c r="H99" i="4"/>
  <c r="I99" i="4"/>
  <c r="J99" i="4"/>
  <c r="K99" i="4"/>
  <c r="F99" i="4"/>
  <c r="K161" i="4"/>
  <c r="F148" i="4"/>
  <c r="G148" i="4"/>
  <c r="H148" i="4"/>
  <c r="I148" i="4"/>
  <c r="J148" i="4"/>
  <c r="K148" i="4"/>
  <c r="F145" i="4"/>
  <c r="G145" i="4"/>
  <c r="H145" i="4"/>
  <c r="I145" i="4"/>
  <c r="J145" i="4"/>
  <c r="K145" i="4"/>
  <c r="F120" i="4"/>
  <c r="E122" i="4"/>
  <c r="E142" i="4" s="1"/>
  <c r="E140" i="4"/>
  <c r="F140" i="4" s="1"/>
  <c r="XFD122" i="4"/>
  <c r="E118" i="4"/>
  <c r="F118" i="4" s="1"/>
  <c r="H111" i="4"/>
  <c r="I111" i="4"/>
  <c r="J111" i="4"/>
  <c r="K111" i="4"/>
  <c r="H112" i="4"/>
  <c r="I112" i="4"/>
  <c r="J112" i="4"/>
  <c r="K112" i="4"/>
  <c r="G112" i="4"/>
  <c r="G111" i="4"/>
  <c r="F112" i="4"/>
  <c r="F111" i="4"/>
  <c r="E105" i="4"/>
  <c r="D105" i="4"/>
  <c r="E107" i="4"/>
  <c r="F107" i="4" s="1"/>
  <c r="E101" i="4"/>
  <c r="E102" i="4" s="1"/>
  <c r="D101" i="4"/>
  <c r="D102" i="4" s="1"/>
  <c r="E99" i="4"/>
  <c r="D99" i="4"/>
  <c r="E84" i="4"/>
  <c r="F84" i="4" s="1"/>
  <c r="E41" i="4"/>
  <c r="F41" i="4" s="1"/>
  <c r="G43" i="4"/>
  <c r="G51" i="4" s="1"/>
  <c r="H43" i="4"/>
  <c r="H51" i="4" s="1"/>
  <c r="I43" i="4"/>
  <c r="I51" i="4" s="1"/>
  <c r="J43" i="4"/>
  <c r="J51" i="4" s="1"/>
  <c r="K43" i="4"/>
  <c r="K51" i="4" s="1"/>
  <c r="F43" i="4"/>
  <c r="F51" i="4" s="1"/>
  <c r="F72" i="4"/>
  <c r="G72" i="4"/>
  <c r="H72" i="4"/>
  <c r="I72" i="4"/>
  <c r="J72" i="4"/>
  <c r="K72" i="4"/>
  <c r="E72" i="4"/>
  <c r="D72" i="4"/>
  <c r="F60" i="4"/>
  <c r="G60" i="4"/>
  <c r="H60" i="4"/>
  <c r="I60" i="4"/>
  <c r="J60" i="4"/>
  <c r="K60" i="4"/>
  <c r="E60" i="4"/>
  <c r="D60" i="4"/>
  <c r="F54" i="4"/>
  <c r="G54" i="4"/>
  <c r="H54" i="4"/>
  <c r="I54" i="4"/>
  <c r="J54" i="4"/>
  <c r="K54" i="4"/>
  <c r="E54" i="4"/>
  <c r="D54" i="4"/>
  <c r="D51" i="4"/>
  <c r="E43" i="4"/>
  <c r="E51" i="4" s="1"/>
  <c r="XFD70" i="4"/>
  <c r="F56" i="4"/>
  <c r="G56" i="4"/>
  <c r="H56" i="4"/>
  <c r="I56" i="4"/>
  <c r="J56" i="4"/>
  <c r="K56" i="4"/>
  <c r="E56" i="4"/>
  <c r="E44" i="4" s="1"/>
  <c r="E57" i="4" s="1"/>
  <c r="D56" i="4"/>
  <c r="D44" i="4" s="1"/>
  <c r="D57" i="4" s="1"/>
  <c r="E35" i="4"/>
  <c r="J34" i="4"/>
  <c r="F24" i="4"/>
  <c r="E33" i="4" s="1"/>
  <c r="D34" i="4"/>
  <c r="E132" i="4" s="1"/>
  <c r="F130" i="4" s="1"/>
  <c r="D33" i="4"/>
  <c r="K18" i="4"/>
  <c r="K15" i="4"/>
  <c r="K14" i="4"/>
  <c r="E6" i="3"/>
  <c r="E29" i="3" s="1"/>
  <c r="I25" i="4"/>
  <c r="F25" i="4"/>
  <c r="E34" i="4" s="1"/>
  <c r="E37" i="4" s="1"/>
  <c r="I24" i="4"/>
  <c r="K24" i="4" s="1"/>
  <c r="K9" i="4"/>
  <c r="B147" i="4"/>
  <c r="B144" i="4"/>
  <c r="E48" i="4"/>
  <c r="F48" i="4" s="1"/>
  <c r="B34" i="4"/>
  <c r="B129" i="4" s="1"/>
  <c r="B33" i="4"/>
  <c r="B124" i="4" s="1"/>
  <c r="E27" i="4"/>
  <c r="B22" i="3"/>
  <c r="B23" i="3" s="1"/>
  <c r="B24" i="3" s="1"/>
  <c r="B25" i="3" s="1"/>
  <c r="B26" i="3" s="1"/>
  <c r="B27" i="3" s="1"/>
  <c r="B28" i="3" s="1"/>
  <c r="B29" i="3" s="1"/>
  <c r="B30" i="3" s="1"/>
  <c r="F110" i="4" l="1"/>
  <c r="F102" i="4"/>
  <c r="G110" i="4"/>
  <c r="G102" i="4"/>
  <c r="D37" i="4"/>
  <c r="E127" i="4"/>
  <c r="K62" i="4"/>
  <c r="K78" i="4" s="1"/>
  <c r="K44" i="4"/>
  <c r="K57" i="4" s="1"/>
  <c r="J62" i="4"/>
  <c r="J78" i="4" s="1"/>
  <c r="J44" i="4"/>
  <c r="J57" i="4" s="1"/>
  <c r="I62" i="4"/>
  <c r="I78" i="4" s="1"/>
  <c r="I44" i="4"/>
  <c r="I57" i="4" s="1"/>
  <c r="H62" i="4"/>
  <c r="H78" i="4" s="1"/>
  <c r="H44" i="4"/>
  <c r="H57" i="4" s="1"/>
  <c r="G62" i="4"/>
  <c r="G78" i="4" s="1"/>
  <c r="G44" i="4"/>
  <c r="G57" i="4" s="1"/>
  <c r="F62" i="4"/>
  <c r="F78" i="4" s="1"/>
  <c r="F44" i="4"/>
  <c r="F57" i="4" s="1"/>
  <c r="E62" i="4"/>
  <c r="E78" i="4" s="1"/>
  <c r="D62" i="4"/>
  <c r="D78" i="4" s="1"/>
  <c r="K25" i="4"/>
  <c r="K27" i="4" s="1"/>
  <c r="I27" i="4"/>
  <c r="E16" i="3"/>
  <c r="K12" i="4" s="1"/>
  <c r="K11" i="4" s="1"/>
  <c r="K17" i="4" s="1"/>
  <c r="E24" i="3"/>
  <c r="E23" i="3"/>
  <c r="E26" i="3"/>
  <c r="E27" i="3"/>
  <c r="E22" i="3"/>
  <c r="E25" i="3"/>
  <c r="E21" i="3"/>
  <c r="E28" i="3"/>
  <c r="E30" i="3"/>
  <c r="F122" i="4" l="1"/>
  <c r="F141" i="4" s="1"/>
  <c r="F34" i="4"/>
  <c r="F35" i="4"/>
  <c r="F33" i="4"/>
  <c r="F125" i="4"/>
  <c r="E137" i="4"/>
  <c r="I33" i="4"/>
  <c r="K19" i="4"/>
  <c r="E19" i="4" s="1"/>
  <c r="K156" i="4" s="1"/>
  <c r="K157" i="4" s="1"/>
  <c r="E65" i="4"/>
  <c r="E63" i="4"/>
  <c r="E45" i="4"/>
  <c r="D65" i="4"/>
  <c r="D63" i="4"/>
  <c r="D45" i="4"/>
  <c r="K45" i="4"/>
  <c r="K63" i="4"/>
  <c r="K65" i="4"/>
  <c r="J45" i="4"/>
  <c r="J63" i="4"/>
  <c r="J65" i="4"/>
  <c r="I45" i="4"/>
  <c r="I63" i="4"/>
  <c r="I65" i="4"/>
  <c r="H45" i="4"/>
  <c r="H63" i="4"/>
  <c r="H65" i="4"/>
  <c r="G45" i="4"/>
  <c r="G63" i="4"/>
  <c r="G65" i="4"/>
  <c r="F45" i="4"/>
  <c r="F63" i="4"/>
  <c r="F65" i="4"/>
  <c r="E9" i="3"/>
  <c r="E10" i="3" s="1"/>
  <c r="E32" i="3"/>
  <c r="E8" i="3" s="1"/>
  <c r="F37" i="4" l="1"/>
  <c r="F135" i="4"/>
  <c r="G120" i="4"/>
  <c r="J33" i="4"/>
  <c r="J37" i="4" s="1"/>
  <c r="I37" i="4"/>
  <c r="E74" i="4"/>
  <c r="E75" i="4" s="1"/>
  <c r="E46" i="4"/>
  <c r="E69" i="4" s="1"/>
  <c r="E66" i="4"/>
  <c r="D74" i="4"/>
  <c r="D75" i="4" s="1"/>
  <c r="D46" i="4"/>
  <c r="D69" i="4" s="1"/>
  <c r="D66" i="4"/>
  <c r="K74" i="4"/>
  <c r="K46" i="4"/>
  <c r="K69" i="4" s="1"/>
  <c r="K66" i="4"/>
  <c r="J74" i="4"/>
  <c r="J46" i="4"/>
  <c r="J69" i="4" s="1"/>
  <c r="J66" i="4"/>
  <c r="I74" i="4"/>
  <c r="I46" i="4"/>
  <c r="I69" i="4" s="1"/>
  <c r="I66" i="4"/>
  <c r="H46" i="4"/>
  <c r="H69" i="4" s="1"/>
  <c r="H74" i="4"/>
  <c r="H66" i="4"/>
  <c r="G74" i="4"/>
  <c r="G46" i="4"/>
  <c r="G69" i="4" s="1"/>
  <c r="G66" i="4"/>
  <c r="F46" i="4"/>
  <c r="F69" i="4" s="1"/>
  <c r="F66" i="4"/>
  <c r="F74" i="4"/>
  <c r="E11" i="3"/>
  <c r="G122" i="4" l="1"/>
  <c r="G141" i="4" s="1"/>
  <c r="K75" i="4"/>
  <c r="K109" i="4"/>
  <c r="K114" i="4" s="1"/>
  <c r="J75" i="4"/>
  <c r="J109" i="4"/>
  <c r="J114" i="4" s="1"/>
  <c r="I75" i="4"/>
  <c r="I109" i="4"/>
  <c r="I114" i="4" s="1"/>
  <c r="H75" i="4"/>
  <c r="H109" i="4"/>
  <c r="H114" i="4" s="1"/>
  <c r="G75" i="4"/>
  <c r="G109" i="4"/>
  <c r="G114" i="4" s="1"/>
  <c r="F75" i="4"/>
  <c r="F109" i="4"/>
  <c r="F114" i="4" s="1"/>
  <c r="K33" i="4"/>
  <c r="K34" i="4"/>
  <c r="F27" i="4"/>
  <c r="H120" i="4" l="1"/>
  <c r="F126" i="4"/>
  <c r="F131" i="4" s="1"/>
  <c r="F132" i="4" s="1"/>
  <c r="K37" i="4"/>
  <c r="G130" i="4" l="1"/>
  <c r="F147" i="4"/>
  <c r="H122" i="4"/>
  <c r="H141" i="4" s="1"/>
  <c r="F127" i="4"/>
  <c r="F144" i="4" s="1"/>
  <c r="F136" i="4"/>
  <c r="F150" i="4" l="1"/>
  <c r="I120" i="4"/>
  <c r="F137" i="4"/>
  <c r="G125" i="4"/>
  <c r="F151" i="4" l="1"/>
  <c r="I122" i="4"/>
  <c r="G126" i="4"/>
  <c r="G127" i="4" s="1"/>
  <c r="G144" i="4" s="1"/>
  <c r="G135" i="4"/>
  <c r="J120" i="4" l="1"/>
  <c r="I141" i="4"/>
  <c r="G131" i="4"/>
  <c r="H125" i="4"/>
  <c r="J122" i="4" l="1"/>
  <c r="H126" i="4"/>
  <c r="H127" i="4" s="1"/>
  <c r="H144" i="4" s="1"/>
  <c r="G132" i="4"/>
  <c r="G147" i="4" s="1"/>
  <c r="G150" i="4" s="1"/>
  <c r="G136" i="4"/>
  <c r="K120" i="4" l="1"/>
  <c r="J141" i="4"/>
  <c r="K122" i="4"/>
  <c r="K141" i="4" s="1"/>
  <c r="I125" i="4"/>
  <c r="G137" i="4"/>
  <c r="H130" i="4"/>
  <c r="H131" i="4" s="1"/>
  <c r="H132" i="4" l="1"/>
  <c r="H136" i="4"/>
  <c r="G138" i="4"/>
  <c r="G151" i="4"/>
  <c r="H135" i="4"/>
  <c r="I126" i="4"/>
  <c r="H147" i="4" l="1"/>
  <c r="H150" i="4" s="1"/>
  <c r="I130" i="4"/>
  <c r="H137" i="4"/>
  <c r="H138" i="4" s="1"/>
  <c r="I127" i="4"/>
  <c r="I144" i="4" s="1"/>
  <c r="H151" i="4" l="1"/>
  <c r="I135" i="4"/>
  <c r="I131" i="4"/>
  <c r="J125" i="4"/>
  <c r="I132" i="4" l="1"/>
  <c r="I147" i="4" s="1"/>
  <c r="I150" i="4" s="1"/>
  <c r="I136" i="4"/>
  <c r="J126" i="4"/>
  <c r="J127" i="4" s="1"/>
  <c r="J144" i="4" s="1"/>
  <c r="I137" i="4" l="1"/>
  <c r="J130" i="4"/>
  <c r="K125" i="4"/>
  <c r="I138" i="4" l="1"/>
  <c r="I151" i="4"/>
  <c r="J135" i="4"/>
  <c r="J131" i="4"/>
  <c r="K126" i="4"/>
  <c r="K127" i="4" s="1"/>
  <c r="K144" i="4" s="1"/>
  <c r="J132" i="4" l="1"/>
  <c r="J147" i="4" s="1"/>
  <c r="J150" i="4" s="1"/>
  <c r="J136" i="4"/>
  <c r="K130" i="4" l="1"/>
  <c r="J137" i="4"/>
  <c r="K131" i="4" l="1"/>
  <c r="K135" i="4"/>
  <c r="J138" i="4"/>
  <c r="J151" i="4"/>
  <c r="K132" i="4" l="1"/>
  <c r="K136" i="4"/>
  <c r="K137" i="4" l="1"/>
  <c r="K147" i="4"/>
  <c r="K150" i="4" s="1"/>
  <c r="F81" i="4"/>
  <c r="F82" i="4" s="1"/>
  <c r="I81" i="4"/>
  <c r="I82" i="4" s="1"/>
  <c r="G81" i="4"/>
  <c r="G82" i="4" s="1"/>
  <c r="H81" i="4"/>
  <c r="H82" i="4" s="1"/>
  <c r="J81" i="4"/>
  <c r="J82" i="4" s="1"/>
  <c r="K81" i="4"/>
  <c r="K82" i="4" s="1"/>
  <c r="E81" i="4"/>
  <c r="E82" i="4"/>
  <c r="D81" i="4"/>
  <c r="D82" i="4" s="1"/>
  <c r="K151" i="4" l="1"/>
  <c r="K138" i="4"/>
  <c r="K158" i="4"/>
  <c r="K159" i="4" s="1"/>
  <c r="K163" i="4" s="1"/>
  <c r="K164" i="4" s="1"/>
  <c r="C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Nalin Arora</author>
    <author>Ben Chon</author>
  </authors>
  <commentList>
    <comment ref="E10" authorId="0" shapeId="0" xr:uid="{20E78B68-C297-FD44-B814-B90791F1A549}">
      <text>
        <r>
          <rPr>
            <b/>
            <sz val="10"/>
            <color rgb="FF000000"/>
            <rFont val="Tahoma"/>
            <family val="2"/>
          </rPr>
          <t xml:space="preserve">Nalin Arora: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https://finance.yahoo.com/quote/AAVAS.NS/history/?period1=1723161600&amp;period2=1788367890
</t>
        </r>
      </text>
    </comment>
    <comment ref="E24" authorId="1" shapeId="0" xr:uid="{06EE115A-A198-E74F-B354-1F1812E43BD4}">
      <text/>
    </comment>
    <comment ref="E25" authorId="1" shapeId="0" xr:uid="{6736555E-2C4B-424A-9CF0-9201D8CE0AA8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2011 10K pg 105</t>
        </r>
      </text>
    </comment>
    <comment ref="G50" authorId="1" shapeId="0" xr:uid="{492E7994-2050-D446-AA04-D38EEE89B395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PREM 14A pg 60</t>
        </r>
      </text>
    </comment>
    <comment ref="E80" authorId="1" shapeId="0" xr:uid="{FF88FBE7-9D9F-914B-8D84-3D421CC4A682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E7" authorId="0" shapeId="0" xr:uid="{2A3FF28F-39B0-4660-984C-0A1411D49BA4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2011 10K pg 88</t>
        </r>
      </text>
    </comment>
    <comment ref="E12" authorId="0" shapeId="0" xr:uid="{A8B2EABF-2AEC-4921-B885-EA48E9BAECC0}">
      <text/>
    </comment>
    <comment ref="E14" authorId="0" shapeId="0" xr:uid="{10BA3376-8F18-44DE-9AD8-845B8AB3B526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2011 10K pg 88</t>
        </r>
      </text>
    </comment>
    <comment ref="C21" authorId="0" shapeId="0" xr:uid="{14CF317F-7C41-4C2C-89ED-C58194C3805C}">
      <text>
        <r>
          <rPr>
            <b/>
            <sz val="9"/>
            <color rgb="FF000000"/>
            <rFont val="Tahoma"/>
            <family val="2"/>
          </rPr>
          <t>Ben Chon: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2011 10K pg 99</t>
        </r>
      </text>
    </comment>
  </commentList>
</comments>
</file>

<file path=xl/sharedStrings.xml><?xml version="1.0" encoding="utf-8"?>
<sst xmlns="http://schemas.openxmlformats.org/spreadsheetml/2006/main" count="178" uniqueCount="119">
  <si>
    <t>x</t>
  </si>
  <si>
    <t>LBO</t>
  </si>
  <si>
    <t>Assumptions</t>
  </si>
  <si>
    <t>Transaction Background</t>
  </si>
  <si>
    <t>Valuation at Entry</t>
  </si>
  <si>
    <t>Company name</t>
  </si>
  <si>
    <t>Ticker</t>
  </si>
  <si>
    <t>Latest closing share price</t>
  </si>
  <si>
    <t>Latest closing share price date</t>
  </si>
  <si>
    <t>Offer value / share</t>
  </si>
  <si>
    <t>% Premium / discount</t>
  </si>
  <si>
    <t>Offer value (Equity value)</t>
  </si>
  <si>
    <t>Diluted shares outstanding</t>
  </si>
  <si>
    <t>Debt</t>
  </si>
  <si>
    <t>Cash</t>
  </si>
  <si>
    <t>Enterprise Value</t>
  </si>
  <si>
    <t>LTM EBITDA</t>
  </si>
  <si>
    <t>Entry Multiple</t>
  </si>
  <si>
    <t>Transaction Financials and Assumptions</t>
  </si>
  <si>
    <t>Minimum Cash</t>
  </si>
  <si>
    <t>Exit Multiple</t>
  </si>
  <si>
    <t>Capital Structure</t>
  </si>
  <si>
    <t>Amount</t>
  </si>
  <si>
    <t>xEBITDA</t>
  </si>
  <si>
    <t>Interest (%)</t>
  </si>
  <si>
    <t>Fees (%)</t>
  </si>
  <si>
    <t>Fee ($)</t>
  </si>
  <si>
    <t>Term</t>
  </si>
  <si>
    <t>Amortization</t>
  </si>
  <si>
    <t>Total</t>
  </si>
  <si>
    <t>Diluted Share Count Calculation</t>
  </si>
  <si>
    <t>Full Diluted Shares</t>
  </si>
  <si>
    <t>Offer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</si>
  <si>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</si>
  <si>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</si>
  <si>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</si>
  <si>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</si>
  <si>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</si>
  <si>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</si>
  <si>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Settled stock based comp</t>
  </si>
  <si>
    <t>Net diluted shares outstanding</t>
  </si>
  <si>
    <t>Options outstanding</t>
  </si>
  <si>
    <t>Outstanding</t>
  </si>
  <si>
    <t>Exercise price</t>
  </si>
  <si>
    <t>Dilutive Shares</t>
  </si>
  <si>
    <t>Sources and Uses</t>
  </si>
  <si>
    <t>Sources</t>
  </si>
  <si>
    <t>Uses</t>
  </si>
  <si>
    <t>% Capital</t>
  </si>
  <si>
    <t>Operating Model</t>
  </si>
  <si>
    <t>Revenue</t>
  </si>
  <si>
    <t>% growth</t>
  </si>
  <si>
    <t>COGS</t>
  </si>
  <si>
    <t>% of sales</t>
  </si>
  <si>
    <t>Gross Profit</t>
  </si>
  <si>
    <t>OpEx</t>
  </si>
  <si>
    <t>EBIT</t>
  </si>
  <si>
    <t>EBT</t>
  </si>
  <si>
    <t>Taxes</t>
  </si>
  <si>
    <t>% tax rate</t>
  </si>
  <si>
    <t>Net Income</t>
  </si>
  <si>
    <t>Revenue growth</t>
  </si>
  <si>
    <t>Gross margin</t>
  </si>
  <si>
    <t>Tax rate</t>
  </si>
  <si>
    <t>EBITDA Reconciliation</t>
  </si>
  <si>
    <t>D&amp;A</t>
  </si>
  <si>
    <t>Adjustments</t>
  </si>
  <si>
    <t>EBITDA</t>
  </si>
  <si>
    <t>Cash Flow Items</t>
  </si>
  <si>
    <t>Change in Net Working Capital</t>
  </si>
  <si>
    <t>Levered Free Cash Flow</t>
  </si>
  <si>
    <t>CapEx</t>
  </si>
  <si>
    <t>Change in NWC</t>
  </si>
  <si>
    <t>Mandatory Debt Repayments</t>
  </si>
  <si>
    <t>Debt Schedule</t>
  </si>
  <si>
    <t>Debt Paydown</t>
  </si>
  <si>
    <t>Beginning Balance</t>
  </si>
  <si>
    <t>Inflow / (Outflow)</t>
  </si>
  <si>
    <t>Ending Balance</t>
  </si>
  <si>
    <t>Paydown</t>
  </si>
  <si>
    <t>Total Debt</t>
  </si>
  <si>
    <t>CHECK</t>
  </si>
  <si>
    <t>Interest</t>
  </si>
  <si>
    <t>Interest income rate</t>
  </si>
  <si>
    <t>Interest rate</t>
  </si>
  <si>
    <t>Total interest expense</t>
  </si>
  <si>
    <t>Blended interest rate</t>
  </si>
  <si>
    <t xml:space="preserve">IRR </t>
  </si>
  <si>
    <t>LTM EBITDA at Exit</t>
  </si>
  <si>
    <t>Net Debt</t>
  </si>
  <si>
    <t>MOIC</t>
  </si>
  <si>
    <t>IRR</t>
  </si>
  <si>
    <t>Mphasis Ltd</t>
  </si>
  <si>
    <t>MPHASIS</t>
  </si>
  <si>
    <t>In Crores</t>
  </si>
  <si>
    <t>Senior Secured Debt - Tranche 1</t>
  </si>
  <si>
    <t>Junior Unsecured Debt - Tranche 2</t>
  </si>
  <si>
    <t>Blackstone Equity</t>
  </si>
  <si>
    <t>Transaction Fees(1.5x)</t>
  </si>
  <si>
    <t>Financials (31/03/2015 FYE)</t>
  </si>
  <si>
    <t>Exceptional Items</t>
  </si>
  <si>
    <t>-</t>
  </si>
  <si>
    <t>EBIT margin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</si>
  <si>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Estimated debt structure based on standard Indian PE deal parameters for 2016, the actual transaction was fully equity funded </t>
    </r>
  </si>
  <si>
    <t>Depreciation / amortization  </t>
  </si>
  <si>
    <t>Profit on sale of fixed assets</t>
  </si>
  <si>
    <t>Impairment of goodwill</t>
  </si>
  <si>
    <t>Employee stock compensation expense</t>
  </si>
  <si>
    <t>Provision for bad and doubtful debts</t>
  </si>
  <si>
    <t>Operating Activities</t>
  </si>
  <si>
    <t>Effect of exchange rate changes (gain) / loss </t>
  </si>
  <si>
    <t xml:space="preserve">Interest income </t>
  </si>
  <si>
    <t>Dividend income</t>
  </si>
  <si>
    <t>Interest expense</t>
  </si>
  <si>
    <t>(Profit)Loss on sale/revaluation of investments</t>
  </si>
  <si>
    <t xml:space="preserve"> </t>
  </si>
  <si>
    <t>Blackstone Equity at Entry</t>
  </si>
  <si>
    <t>Blackstone Equity Value</t>
  </si>
  <si>
    <t xml:space="preserve">IRR(for Refrence)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</si>
</sst>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164" formatCode="#,##0.0_);\(#,##0.0\)"/>
    <numFmt numFmtId="165" formatCode="0.0%"/>
    <numFmt numFmtId="166" formatCode="0\ &quot;yrs&quot;"/>
    <numFmt numFmtId="167" formatCode="#,##0.0_);\(#,##0.0\);@_)"/>
    <numFmt numFmtId="168" formatCode="&quot;Tranche&quot;\ 0"/>
    <numFmt numFmtId="169" formatCode="0&quot;A&quot;"/>
    <numFmt numFmtId="170" formatCode="0&quot;E&quot;"/>
    <numFmt numFmtId="171" formatCode="0.0%_);\(0.0%\);@_)"/>
    <numFmt numFmtId="172" formatCode="0.00%_);\(0.00%\);@_)"/>
    <numFmt numFmtId="173" formatCode="0.0\x_)"/>
    <numFmt numFmtId="174" formatCode="[$-F800]dddd\,\ mmmm\ dd\,\ yyyy"/>
    <numFmt numFmtId="175" formatCode="&quot;₹&quot;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color rgb="FF000000"/>
      <name val="Times New Roman"/>
      <family val="1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1A171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9" fontId="8" fillId="0" borderId="0" xfId="1" applyFont="1"/>
    <xf numFmtId="39" fontId="9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37" fontId="9" fillId="4" borderId="2" xfId="0" applyNumberFormat="1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37" fontId="9" fillId="0" borderId="0" xfId="0" applyNumberFormat="1" applyFont="1" applyAlignment="1">
      <alignment horizontal="right"/>
    </xf>
    <xf numFmtId="37" fontId="11" fillId="0" borderId="0" xfId="0" applyNumberFormat="1" applyFont="1" applyAlignment="1">
      <alignment horizontal="right"/>
    </xf>
    <xf numFmtId="165" fontId="12" fillId="0" borderId="0" xfId="1" applyNumberFormat="1" applyFont="1"/>
    <xf numFmtId="166" fontId="7" fillId="0" borderId="0" xfId="0" applyNumberFormat="1" applyFont="1"/>
    <xf numFmtId="37" fontId="0" fillId="0" borderId="0" xfId="0" applyNumberForma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7" fontId="15" fillId="0" borderId="0" xfId="0" applyNumberFormat="1" applyFont="1"/>
    <xf numFmtId="167" fontId="0" fillId="0" borderId="0" xfId="0" applyNumberFormat="1"/>
    <xf numFmtId="167" fontId="7" fillId="0" borderId="0" xfId="0" applyNumberFormat="1" applyFont="1"/>
    <xf numFmtId="0" fontId="3" fillId="0" borderId="0" xfId="0" applyFont="1" applyAlignment="1">
      <alignment horizontal="left"/>
    </xf>
    <xf numFmtId="164" fontId="0" fillId="0" borderId="0" xfId="0" applyNumberFormat="1"/>
    <xf numFmtId="167" fontId="3" fillId="0" borderId="0" xfId="0" applyNumberFormat="1" applyFont="1"/>
    <xf numFmtId="168" fontId="0" fillId="0" borderId="0" xfId="0" applyNumberFormat="1" applyAlignment="1">
      <alignment horizontal="left"/>
    </xf>
    <xf numFmtId="2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68" fontId="0" fillId="0" borderId="1" xfId="0" applyNumberFormat="1" applyBorder="1" applyAlignment="1">
      <alignment horizontal="left"/>
    </xf>
    <xf numFmtId="164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5" borderId="3" xfId="0" applyFont="1" applyFill="1" applyBorder="1"/>
    <xf numFmtId="0" fontId="3" fillId="5" borderId="4" xfId="0" applyFont="1" applyFill="1" applyBorder="1"/>
    <xf numFmtId="2" fontId="3" fillId="5" borderId="5" xfId="0" applyNumberFormat="1" applyFont="1" applyFill="1" applyBorder="1" applyAlignment="1">
      <alignment horizontal="right" indent="1"/>
    </xf>
    <xf numFmtId="39" fontId="16" fillId="4" borderId="2" xfId="0" applyNumberFormat="1" applyFont="1" applyFill="1" applyBorder="1" applyAlignment="1">
      <alignment horizontal="right"/>
    </xf>
    <xf numFmtId="39" fontId="0" fillId="0" borderId="0" xfId="0" applyNumberFormat="1"/>
    <xf numFmtId="37" fontId="13" fillId="0" borderId="0" xfId="0" applyNumberFormat="1" applyFont="1" applyAlignment="1">
      <alignment horizontal="right"/>
    </xf>
    <xf numFmtId="39" fontId="17" fillId="4" borderId="2" xfId="0" applyNumberFormat="1" applyFont="1" applyFill="1" applyBorder="1" applyAlignment="1">
      <alignment horizontal="right"/>
    </xf>
    <xf numFmtId="37" fontId="15" fillId="0" borderId="0" xfId="0" applyNumberFormat="1" applyFont="1" applyAlignment="1">
      <alignment horizontal="right"/>
    </xf>
    <xf numFmtId="37" fontId="3" fillId="0" borderId="0" xfId="0" applyNumberFormat="1" applyFont="1"/>
    <xf numFmtId="37" fontId="11" fillId="0" borderId="0" xfId="0" applyNumberFormat="1" applyFont="1"/>
    <xf numFmtId="37" fontId="15" fillId="0" borderId="0" xfId="0" applyNumberFormat="1" applyFont="1"/>
    <xf numFmtId="37" fontId="7" fillId="0" borderId="0" xfId="0" applyNumberFormat="1" applyFont="1"/>
    <xf numFmtId="169" fontId="2" fillId="3" borderId="0" xfId="0" applyNumberFormat="1" applyFont="1" applyFill="1"/>
    <xf numFmtId="4" fontId="0" fillId="0" borderId="0" xfId="0" applyNumberFormat="1"/>
    <xf numFmtId="0" fontId="18" fillId="6" borderId="0" xfId="0" applyFont="1" applyFill="1" applyAlignment="1">
      <alignment horizontal="left"/>
    </xf>
    <xf numFmtId="0" fontId="18" fillId="6" borderId="0" xfId="0" applyFont="1" applyFill="1" applyAlignment="1">
      <alignment vertical="center" wrapText="1"/>
    </xf>
    <xf numFmtId="171" fontId="19" fillId="4" borderId="2" xfId="1" applyNumberFormat="1" applyFont="1" applyFill="1" applyBorder="1" applyAlignment="1">
      <alignment horizontal="right"/>
    </xf>
    <xf numFmtId="171" fontId="19" fillId="4" borderId="2" xfId="1" quotePrefix="1" applyNumberFormat="1" applyFont="1" applyFill="1" applyBorder="1" applyAlignment="1">
      <alignment horizontal="right"/>
    </xf>
    <xf numFmtId="171" fontId="20" fillId="0" borderId="0" xfId="0" quotePrefix="1" applyNumberFormat="1" applyFont="1" applyAlignment="1">
      <alignment horizontal="right"/>
    </xf>
    <xf numFmtId="171" fontId="19" fillId="0" borderId="0" xfId="0" quotePrefix="1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 wrapText="1"/>
    </xf>
    <xf numFmtId="0" fontId="3" fillId="5" borderId="6" xfId="0" applyFont="1" applyFill="1" applyBorder="1"/>
    <xf numFmtId="0" fontId="3" fillId="5" borderId="7" xfId="0" applyFont="1" applyFill="1" applyBorder="1"/>
    <xf numFmtId="37" fontId="22" fillId="5" borderId="7" xfId="0" applyNumberFormat="1" applyFont="1" applyFill="1" applyBorder="1"/>
    <xf numFmtId="37" fontId="3" fillId="5" borderId="7" xfId="0" applyNumberFormat="1" applyFont="1" applyFill="1" applyBorder="1"/>
    <xf numFmtId="37" fontId="3" fillId="5" borderId="8" xfId="0" applyNumberFormat="1" applyFont="1" applyFill="1" applyBorder="1"/>
    <xf numFmtId="0" fontId="3" fillId="5" borderId="9" xfId="0" applyFont="1" applyFill="1" applyBorder="1" applyAlignment="1">
      <alignment horizontal="left" indent="1"/>
    </xf>
    <xf numFmtId="0" fontId="3" fillId="5" borderId="1" xfId="0" applyFont="1" applyFill="1" applyBorder="1"/>
    <xf numFmtId="171" fontId="23" fillId="5" borderId="1" xfId="0" quotePrefix="1" applyNumberFormat="1" applyFont="1" applyFill="1" applyBorder="1" applyAlignment="1">
      <alignment horizontal="right"/>
    </xf>
    <xf numFmtId="171" fontId="23" fillId="5" borderId="10" xfId="0" quotePrefix="1" applyNumberFormat="1" applyFont="1" applyFill="1" applyBorder="1" applyAlignment="1">
      <alignment horizontal="right"/>
    </xf>
    <xf numFmtId="0" fontId="8" fillId="0" borderId="0" xfId="0" applyFont="1" applyAlignment="1">
      <alignment horizontal="left" indent="1"/>
    </xf>
    <xf numFmtId="0" fontId="24" fillId="5" borderId="9" xfId="0" applyFont="1" applyFill="1" applyBorder="1" applyAlignment="1">
      <alignment horizontal="left" indent="1"/>
    </xf>
    <xf numFmtId="0" fontId="0" fillId="5" borderId="7" xfId="0" applyFill="1" applyBorder="1"/>
    <xf numFmtId="0" fontId="0" fillId="5" borderId="1" xfId="0" applyFill="1" applyBorder="1"/>
    <xf numFmtId="0" fontId="10" fillId="0" borderId="0" xfId="0" applyFont="1"/>
    <xf numFmtId="37" fontId="7" fillId="0" borderId="1" xfId="0" applyNumberFormat="1" applyFont="1" applyBorder="1"/>
    <xf numFmtId="37" fontId="15" fillId="4" borderId="2" xfId="0" applyNumberFormat="1" applyFont="1" applyFill="1" applyBorder="1" applyAlignment="1">
      <alignment horizontal="right"/>
    </xf>
    <xf numFmtId="173" fontId="0" fillId="0" borderId="0" xfId="0" applyNumberFormat="1"/>
    <xf numFmtId="173" fontId="15" fillId="4" borderId="2" xfId="0" applyNumberFormat="1" applyFont="1" applyFill="1" applyBorder="1" applyAlignment="1">
      <alignment horizontal="right"/>
    </xf>
    <xf numFmtId="37" fontId="3" fillId="5" borderId="4" xfId="0" applyNumberFormat="1" applyFont="1" applyFill="1" applyBorder="1"/>
    <xf numFmtId="173" fontId="3" fillId="5" borderId="4" xfId="0" applyNumberFormat="1" applyFont="1" applyFill="1" applyBorder="1"/>
    <xf numFmtId="37" fontId="13" fillId="5" borderId="4" xfId="0" applyNumberFormat="1" applyFont="1" applyFill="1" applyBorder="1" applyAlignment="1">
      <alignment horizontal="right"/>
    </xf>
    <xf numFmtId="37" fontId="13" fillId="5" borderId="5" xfId="0" applyNumberFormat="1" applyFont="1" applyFill="1" applyBorder="1" applyAlignment="1">
      <alignment horizontal="right"/>
    </xf>
    <xf numFmtId="9" fontId="3" fillId="5" borderId="5" xfId="1" applyFont="1" applyFill="1" applyBorder="1"/>
    <xf numFmtId="37" fontId="25" fillId="5" borderId="7" xfId="0" applyNumberFormat="1" applyFont="1" applyFill="1" applyBorder="1"/>
    <xf numFmtId="37" fontId="13" fillId="0" borderId="0" xfId="0" applyNumberFormat="1" applyFont="1"/>
    <xf numFmtId="0" fontId="3" fillId="0" borderId="0" xfId="0" applyFont="1" applyAlignment="1">
      <alignment horizontal="left" indent="1"/>
    </xf>
    <xf numFmtId="0" fontId="10" fillId="5" borderId="6" xfId="0" applyFont="1" applyFill="1" applyBorder="1"/>
    <xf numFmtId="0" fontId="0" fillId="5" borderId="11" xfId="0" applyFill="1" applyBorder="1" applyAlignment="1">
      <alignment horizontal="left" indent="1"/>
    </xf>
    <xf numFmtId="0" fontId="0" fillId="5" borderId="0" xfId="0" applyFill="1"/>
    <xf numFmtId="37" fontId="3" fillId="5" borderId="1" xfId="0" applyNumberFormat="1" applyFont="1" applyFill="1" applyBorder="1"/>
    <xf numFmtId="0" fontId="21" fillId="0" borderId="0" xfId="0" applyFont="1"/>
    <xf numFmtId="0" fontId="21" fillId="0" borderId="0" xfId="0" applyFont="1" applyAlignment="1">
      <alignment horizontal="right"/>
    </xf>
    <xf numFmtId="173" fontId="13" fillId="5" borderId="8" xfId="0" applyNumberFormat="1" applyFont="1" applyFill="1" applyBorder="1"/>
    <xf numFmtId="0" fontId="3" fillId="5" borderId="9" xfId="0" applyFont="1" applyFill="1" applyBorder="1"/>
    <xf numFmtId="165" fontId="3" fillId="5" borderId="10" xfId="1" applyNumberFormat="1" applyFont="1" applyFill="1" applyBorder="1"/>
    <xf numFmtId="173" fontId="15" fillId="0" borderId="1" xfId="0" applyNumberFormat="1" applyFont="1" applyBorder="1"/>
    <xf numFmtId="0" fontId="3" fillId="0" borderId="3" xfId="0" applyFont="1" applyBorder="1"/>
    <xf numFmtId="0" fontId="3" fillId="0" borderId="4" xfId="0" applyFont="1" applyBorder="1"/>
    <xf numFmtId="37" fontId="3" fillId="0" borderId="5" xfId="0" applyNumberFormat="1" applyFont="1" applyBorder="1"/>
    <xf numFmtId="165" fontId="3" fillId="0" borderId="0" xfId="0" applyNumberFormat="1" applyFont="1"/>
    <xf numFmtId="174" fontId="9" fillId="4" borderId="2" xfId="0" applyNumberFormat="1" applyFont="1" applyFill="1" applyBorder="1" applyAlignment="1">
      <alignment horizontal="right"/>
    </xf>
    <xf numFmtId="175" fontId="9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4" fontId="7" fillId="0" borderId="0" xfId="0" applyNumberFormat="1" applyFont="1"/>
    <xf numFmtId="0" fontId="7" fillId="0" borderId="0" xfId="0" applyFont="1"/>
    <xf numFmtId="37" fontId="7" fillId="0" borderId="0" xfId="0" applyNumberFormat="1" applyFont="1" applyAlignment="1">
      <alignment horizontal="right"/>
    </xf>
    <xf numFmtId="1" fontId="12" fillId="0" borderId="0" xfId="0" quotePrefix="1" applyNumberFormat="1" applyFont="1" applyAlignment="1">
      <alignment horizontal="right"/>
    </xf>
    <xf numFmtId="171" fontId="8" fillId="0" borderId="0" xfId="0" quotePrefix="1" applyNumberFormat="1" applyFont="1" applyAlignment="1">
      <alignment horizontal="right"/>
    </xf>
    <xf numFmtId="3" fontId="7" fillId="0" borderId="0" xfId="0" applyNumberFormat="1" applyFont="1"/>
    <xf numFmtId="172" fontId="19" fillId="7" borderId="0" xfId="1" applyNumberFormat="1" applyFont="1" applyFill="1" applyBorder="1" applyAlignment="1">
      <alignment horizontal="center"/>
    </xf>
    <xf numFmtId="170" fontId="2" fillId="7" borderId="0" xfId="0" applyNumberFormat="1" applyFont="1" applyFill="1" applyAlignment="1">
      <alignment horizontal="center"/>
    </xf>
    <xf numFmtId="0" fontId="0" fillId="7" borderId="0" xfId="0" applyFill="1"/>
    <xf numFmtId="173" fontId="15" fillId="7" borderId="0" xfId="0" applyNumberFormat="1" applyFont="1" applyFill="1" applyAlignment="1">
      <alignment horizontal="right"/>
    </xf>
    <xf numFmtId="0" fontId="30" fillId="0" borderId="0" xfId="0" applyFont="1"/>
    <xf numFmtId="0" fontId="14" fillId="0" borderId="0" xfId="0" applyFont="1" applyAlignment="1">
      <alignment vertical="center" wrapText="1"/>
    </xf>
    <xf numFmtId="1" fontId="0" fillId="0" borderId="0" xfId="0" applyNumberFormat="1"/>
    <xf numFmtId="41" fontId="7" fillId="0" borderId="0" xfId="0" applyNumberFormat="1" applyFont="1"/>
    <xf numFmtId="41" fontId="0" fillId="0" borderId="0" xfId="0" applyNumberFormat="1"/>
    <xf numFmtId="41" fontId="7" fillId="0" borderId="0" xfId="0" applyNumberFormat="1" applyFont="1" applyAlignment="1">
      <alignment horizontal="right" indent="3"/>
    </xf>
    <xf numFmtId="171" fontId="24" fillId="5" borderId="1" xfId="0" quotePrefix="1" applyNumberFormat="1" applyFont="1" applyFill="1" applyBorder="1" applyAlignment="1">
      <alignment horizontal="right"/>
    </xf>
    <xf numFmtId="37" fontId="15" fillId="0" borderId="0" xfId="0" applyNumberFormat="1" applyFont="1" applyAlignment="1">
      <alignment horizontal="right" vertical="center"/>
    </xf>
    <xf numFmtId="37" fontId="0" fillId="0" borderId="0" xfId="0" applyNumberFormat="1" applyAlignment="1">
      <alignment horizontal="right" vertical="center"/>
    </xf>
    <xf numFmtId="37" fontId="0" fillId="0" borderId="1" xfId="0" applyNumberFormat="1" applyBorder="1" applyAlignment="1">
      <alignment horizontal="right" vertical="center"/>
    </xf>
    <xf numFmtId="37" fontId="7" fillId="0" borderId="1" xfId="0" applyNumberFormat="1" applyFont="1" applyBorder="1" applyAlignment="1">
      <alignment horizontal="right" vertical="center"/>
    </xf>
    <xf numFmtId="0" fontId="15" fillId="0" borderId="0" xfId="0" applyFont="1"/>
    <xf numFmtId="0" fontId="7" fillId="0" borderId="0" xfId="0" applyFont="1" applyAlignment="1">
      <alignment horizontal="right"/>
    </xf>
    <xf numFmtId="37" fontId="3" fillId="0" borderId="0" xfId="0" applyNumberFormat="1" applyFont="1" applyAlignment="1">
      <alignment horizontal="right"/>
    </xf>
    <xf numFmtId="0" fontId="0" fillId="5" borderId="12" xfId="0" applyFill="1" applyBorder="1"/>
    <xf numFmtId="37" fontId="3" fillId="5" borderId="14" xfId="0" applyNumberFormat="1" applyFont="1" applyFill="1" applyBorder="1"/>
    <xf numFmtId="37" fontId="0" fillId="5" borderId="0" xfId="0" applyNumberFormat="1" applyFill="1"/>
    <xf numFmtId="37" fontId="0" fillId="5" borderId="13" xfId="0" applyNumberFormat="1" applyFill="1" applyBorder="1"/>
    <xf numFmtId="37" fontId="31" fillId="0" borderId="0" xfId="0" applyNumberFormat="1" applyFont="1" applyAlignment="1">
      <alignment horizontal="right"/>
    </xf>
    <xf numFmtId="9" fontId="15" fillId="0" borderId="0" xfId="0" applyNumberFormat="1" applyFont="1"/>
    <xf numFmtId="165" fontId="15" fillId="0" borderId="0" xfId="0" applyNumberFormat="1" applyFont="1"/>
    <xf numFmtId="0" fontId="5" fillId="0" borderId="0" xfId="0" applyFont="1"/>
    <xf numFmtId="37" fontId="22" fillId="5" borderId="8" xfId="0" applyNumberFormat="1" applyFont="1" applyFill="1" applyBorder="1"/>
    <xf numFmtId="37" fontId="25" fillId="5" borderId="8" xfId="0" applyNumberFormat="1" applyFont="1" applyFill="1" applyBorder="1"/>
    <xf numFmtId="171" fontId="24" fillId="5" borderId="10" xfId="0" quotePrefix="1" applyNumberFormat="1" applyFont="1" applyFill="1" applyBorder="1" applyAlignment="1">
      <alignment horizontal="right"/>
    </xf>
    <xf numFmtId="37" fontId="0" fillId="0" borderId="0" xfId="0" applyNumberFormat="1" applyFont="1"/>
  </cellXfs>
  <cellStyles count="3">
    <cellStyle name="Hyperlink 2" xfId="2" xr:uid="{7366DA0A-0E83-C24C-818A-2DD45C772D94}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6EB6-C3B9-AB46-90AF-4D300EE00CCE}">
  <dimension ref="A2:XFD164"/>
  <sheetViews>
    <sheetView showGridLines="0" tabSelected="1" zoomScale="150" zoomScaleNormal="125" workbookViewId="0">
      <selection activeCell="A122" sqref="A122"/>
    </sheetView>
  </sheetViews>
  <sheetFormatPr baseColWidth="10" defaultColWidth="15.6640625" defaultRowHeight="15" x14ac:dyDescent="0.2"/>
  <cols>
    <col min="1" max="1" width="2" style="4" customWidth="1"/>
    <col min="2" max="2" width="15.83203125" bestFit="1" customWidth="1"/>
    <col min="3" max="3" width="15.6640625" customWidth="1"/>
    <col min="4" max="4" width="15.83203125" bestFit="1" customWidth="1"/>
    <col min="5" max="5" width="16" bestFit="1" customWidth="1"/>
    <col min="6" max="7" width="15.83203125" bestFit="1" customWidth="1"/>
    <col min="8" max="8" width="17.83203125" customWidth="1"/>
    <col min="9" max="11" width="15.83203125" bestFit="1" customWidth="1"/>
  </cols>
  <sheetData>
    <row r="2" spans="1:11" s="3" customFormat="1" ht="21" x14ac:dyDescent="0.25">
      <c r="A2" s="1"/>
      <c r="B2" s="2" t="s">
        <v>1</v>
      </c>
    </row>
    <row r="3" spans="1:11" ht="5" customHeight="1" x14ac:dyDescent="0.25">
      <c r="B3" s="134"/>
    </row>
    <row r="4" spans="1:11" x14ac:dyDescent="0.2">
      <c r="B4" s="7" t="s">
        <v>118</v>
      </c>
      <c r="C4" s="99">
        <f>K164</f>
        <v>0.31708172580620131</v>
      </c>
    </row>
    <row r="5" spans="1:11" x14ac:dyDescent="0.2">
      <c r="A5" s="4" t="s">
        <v>0</v>
      </c>
      <c r="B5" s="5" t="s">
        <v>2</v>
      </c>
      <c r="C5" s="5"/>
      <c r="D5" s="5"/>
      <c r="E5" s="5"/>
      <c r="F5" s="5"/>
      <c r="G5" s="5"/>
      <c r="H5" s="5"/>
      <c r="I5" s="5"/>
      <c r="J5" s="5"/>
      <c r="K5" s="5"/>
    </row>
    <row r="6" spans="1:11" ht="5" customHeight="1" x14ac:dyDescent="0.2"/>
    <row r="7" spans="1:11" x14ac:dyDescent="0.2">
      <c r="B7" s="6" t="s">
        <v>3</v>
      </c>
      <c r="C7" s="6"/>
      <c r="D7" s="6"/>
      <c r="E7" s="6"/>
      <c r="H7" s="6" t="s">
        <v>4</v>
      </c>
      <c r="I7" s="6"/>
      <c r="J7" s="6"/>
      <c r="K7" s="6"/>
    </row>
    <row r="8" spans="1:11" x14ac:dyDescent="0.2">
      <c r="B8" t="s">
        <v>5</v>
      </c>
      <c r="E8" s="11" t="s">
        <v>92</v>
      </c>
      <c r="H8" s="7" t="s">
        <v>9</v>
      </c>
      <c r="K8" s="44">
        <v>457.54</v>
      </c>
    </row>
    <row r="9" spans="1:11" x14ac:dyDescent="0.2">
      <c r="B9" t="s">
        <v>6</v>
      </c>
      <c r="E9" s="11" t="s">
        <v>93</v>
      </c>
      <c r="H9" s="8" t="s">
        <v>10</v>
      </c>
      <c r="K9" s="10">
        <f>K8/E10-1</f>
        <v>-2.3081029144870313E-2</v>
      </c>
    </row>
    <row r="10" spans="1:11" x14ac:dyDescent="0.2">
      <c r="B10" t="s">
        <v>7</v>
      </c>
      <c r="E10" s="11">
        <v>468.35</v>
      </c>
    </row>
    <row r="11" spans="1:11" x14ac:dyDescent="0.2">
      <c r="B11" t="s">
        <v>8</v>
      </c>
      <c r="E11" s="100">
        <v>42461</v>
      </c>
      <c r="H11" s="7" t="s">
        <v>11</v>
      </c>
      <c r="K11" s="43">
        <f>K8*K12</f>
        <v>9665.9900400000006</v>
      </c>
    </row>
    <row r="12" spans="1:11" hidden="1" x14ac:dyDescent="0.2">
      <c r="H12" t="s">
        <v>12</v>
      </c>
      <c r="K12" s="102">
        <f>Shares!E16</f>
        <v>21.126000000000001</v>
      </c>
    </row>
    <row r="14" spans="1:11" x14ac:dyDescent="0.2">
      <c r="B14" s="6" t="s">
        <v>18</v>
      </c>
      <c r="C14" s="6"/>
      <c r="D14" s="6"/>
      <c r="E14" s="6"/>
      <c r="H14" s="8" t="s">
        <v>13</v>
      </c>
      <c r="K14" s="45">
        <f>E16</f>
        <v>215.83</v>
      </c>
    </row>
    <row r="15" spans="1:11" x14ac:dyDescent="0.2">
      <c r="B15" t="s">
        <v>16</v>
      </c>
      <c r="E15" s="75">
        <v>1085</v>
      </c>
      <c r="H15" s="8" t="s">
        <v>14</v>
      </c>
      <c r="K15" s="45">
        <f>E17</f>
        <v>2591.3000000000002</v>
      </c>
    </row>
    <row r="16" spans="1:11" x14ac:dyDescent="0.2">
      <c r="B16" t="s">
        <v>13</v>
      </c>
      <c r="E16" s="13">
        <v>215.83</v>
      </c>
    </row>
    <row r="17" spans="1:11" x14ac:dyDescent="0.2">
      <c r="B17" t="s">
        <v>14</v>
      </c>
      <c r="E17" s="13">
        <v>2591.3000000000002</v>
      </c>
      <c r="H17" s="7" t="s">
        <v>15</v>
      </c>
      <c r="K17" s="46">
        <f>K11+K14-K15</f>
        <v>7290.5200400000003</v>
      </c>
    </row>
    <row r="18" spans="1:11" x14ac:dyDescent="0.2">
      <c r="B18" t="s">
        <v>19</v>
      </c>
      <c r="E18" s="13">
        <v>121.9</v>
      </c>
      <c r="H18" t="s">
        <v>16</v>
      </c>
      <c r="K18" s="45">
        <f>E15</f>
        <v>1085</v>
      </c>
    </row>
    <row r="19" spans="1:11" x14ac:dyDescent="0.2">
      <c r="B19" t="s">
        <v>20</v>
      </c>
      <c r="E19" s="77">
        <f>K19</f>
        <v>6.7193733087557606</v>
      </c>
      <c r="H19" s="7" t="s">
        <v>17</v>
      </c>
      <c r="K19" s="76">
        <f>K17/K18</f>
        <v>6.7193733087557606</v>
      </c>
    </row>
    <row r="20" spans="1:11" x14ac:dyDescent="0.2">
      <c r="E20" s="112"/>
      <c r="H20" s="7"/>
      <c r="K20" s="76"/>
    </row>
    <row r="21" spans="1:11" x14ac:dyDescent="0.2">
      <c r="B21" t="s">
        <v>103</v>
      </c>
    </row>
    <row r="22" spans="1:11" x14ac:dyDescent="0.2">
      <c r="B22" s="6" t="s">
        <v>21</v>
      </c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E23" s="14" t="s">
        <v>22</v>
      </c>
      <c r="F23" s="14" t="s">
        <v>23</v>
      </c>
      <c r="G23" s="14" t="s">
        <v>24</v>
      </c>
      <c r="H23" s="14" t="s">
        <v>25</v>
      </c>
      <c r="I23" s="14" t="s">
        <v>26</v>
      </c>
      <c r="J23" s="14" t="s">
        <v>27</v>
      </c>
      <c r="K23" s="14" t="s">
        <v>28</v>
      </c>
    </row>
    <row r="24" spans="1:11" x14ac:dyDescent="0.2">
      <c r="B24" t="s">
        <v>95</v>
      </c>
      <c r="E24" s="101">
        <v>2625</v>
      </c>
      <c r="F24">
        <f>$E$24/$E$15</f>
        <v>2.4193548387096775</v>
      </c>
      <c r="G24" s="17">
        <v>8.5000000000000006E-2</v>
      </c>
      <c r="H24" s="17">
        <v>0.01</v>
      </c>
      <c r="I24" s="16">
        <f>E24*H24</f>
        <v>26.25</v>
      </c>
      <c r="J24" s="18">
        <v>5</v>
      </c>
      <c r="K24" s="16">
        <f>I24/J24</f>
        <v>5.25</v>
      </c>
    </row>
    <row r="25" spans="1:11" x14ac:dyDescent="0.2">
      <c r="B25" t="s">
        <v>96</v>
      </c>
      <c r="E25" s="101">
        <v>1750</v>
      </c>
      <c r="F25">
        <f>E25/$E$15</f>
        <v>1.6129032258064515</v>
      </c>
      <c r="G25" s="17">
        <v>0.105</v>
      </c>
      <c r="H25" s="17">
        <v>1.4999999999999999E-2</v>
      </c>
      <c r="I25" s="16">
        <f>E25*H25</f>
        <v>26.25</v>
      </c>
      <c r="J25" s="18">
        <v>7</v>
      </c>
      <c r="K25" s="16">
        <f>I25/J25</f>
        <v>3.75</v>
      </c>
    </row>
    <row r="26" spans="1:11" ht="5" customHeight="1" x14ac:dyDescent="0.2">
      <c r="E26" s="15"/>
      <c r="F26" s="47"/>
      <c r="G26" s="17"/>
      <c r="H26" s="17"/>
      <c r="I26" s="16"/>
      <c r="J26" s="18"/>
      <c r="K26" s="16"/>
    </row>
    <row r="27" spans="1:11" x14ac:dyDescent="0.2">
      <c r="A27" s="4" t="s">
        <v>0</v>
      </c>
      <c r="B27" s="38" t="s">
        <v>29</v>
      </c>
      <c r="C27" s="39"/>
      <c r="D27" s="39"/>
      <c r="E27" s="78">
        <f>SUM(E24:E25)</f>
        <v>4375</v>
      </c>
      <c r="F27" s="79">
        <f>SUM(F24:F25)</f>
        <v>4.032258064516129</v>
      </c>
      <c r="G27" s="39"/>
      <c r="H27" s="39"/>
      <c r="I27" s="80">
        <f>SUM(I24:I25)</f>
        <v>52.5</v>
      </c>
      <c r="J27" s="39"/>
      <c r="K27" s="81">
        <f>SUM(K24:K25)</f>
        <v>9</v>
      </c>
    </row>
    <row r="29" spans="1:11" x14ac:dyDescent="0.2">
      <c r="A29" s="4" t="s">
        <v>0</v>
      </c>
      <c r="B29" s="5" t="s">
        <v>45</v>
      </c>
      <c r="C29" s="5"/>
      <c r="D29" s="5" t="s">
        <v>94</v>
      </c>
      <c r="E29" s="5"/>
      <c r="F29" s="5"/>
      <c r="G29" s="5"/>
      <c r="H29" s="5"/>
      <c r="I29" s="5"/>
      <c r="J29" s="5"/>
      <c r="K29" s="5"/>
    </row>
    <row r="30" spans="1:11" ht="5" customHeight="1" x14ac:dyDescent="0.2"/>
    <row r="31" spans="1:11" x14ac:dyDescent="0.2">
      <c r="B31" s="6" t="s">
        <v>46</v>
      </c>
      <c r="C31" s="6"/>
      <c r="D31" s="6"/>
      <c r="E31" s="6"/>
      <c r="F31" s="6"/>
      <c r="H31" s="6" t="s">
        <v>47</v>
      </c>
      <c r="I31" s="6"/>
      <c r="J31" s="6"/>
      <c r="K31" s="6"/>
    </row>
    <row r="32" spans="1:11" x14ac:dyDescent="0.2">
      <c r="D32" s="14" t="s">
        <v>22</v>
      </c>
      <c r="E32" s="14" t="s">
        <v>23</v>
      </c>
      <c r="F32" s="14" t="s">
        <v>48</v>
      </c>
      <c r="I32" s="14" t="s">
        <v>22</v>
      </c>
      <c r="J32" s="14" t="s">
        <v>23</v>
      </c>
      <c r="K32" s="14" t="s">
        <v>48</v>
      </c>
    </row>
    <row r="33" spans="1:13" x14ac:dyDescent="0.2">
      <c r="B33" t="str">
        <f>B24</f>
        <v>Senior Secured Debt - Tranche 1</v>
      </c>
      <c r="D33" s="48">
        <f>E24</f>
        <v>2625</v>
      </c>
      <c r="E33" s="76">
        <f>F24</f>
        <v>2.4193548387096775</v>
      </c>
      <c r="F33" s="9">
        <f>D33/$D$37</f>
        <v>0.35468179975678965</v>
      </c>
      <c r="H33" t="s">
        <v>15</v>
      </c>
      <c r="I33" s="48">
        <f>K17</f>
        <v>7290.5200400000003</v>
      </c>
      <c r="J33" s="76">
        <f>I33/$E$15</f>
        <v>6.7193733087557606</v>
      </c>
      <c r="K33" s="9">
        <f>I33/$I$37</f>
        <v>0.98526931484599367</v>
      </c>
    </row>
    <row r="34" spans="1:13" x14ac:dyDescent="0.2">
      <c r="B34" t="str">
        <f>B25</f>
        <v>Junior Unsecured Debt - Tranche 2</v>
      </c>
      <c r="D34" s="48">
        <f>E25</f>
        <v>1750</v>
      </c>
      <c r="E34" s="76">
        <f>F25</f>
        <v>1.6129032258064515</v>
      </c>
      <c r="F34" s="9">
        <f>D34/$D$37</f>
        <v>0.23645453317119308</v>
      </c>
      <c r="H34" t="s">
        <v>98</v>
      </c>
      <c r="I34" s="48">
        <v>109</v>
      </c>
      <c r="J34" s="76">
        <f>I34/$E$15</f>
        <v>0.10046082949308756</v>
      </c>
      <c r="K34" s="9">
        <f>I34/$I$37</f>
        <v>1.4730685154006285E-2</v>
      </c>
    </row>
    <row r="35" spans="1:13" x14ac:dyDescent="0.2">
      <c r="B35" t="s">
        <v>97</v>
      </c>
      <c r="D35" s="48">
        <v>3026</v>
      </c>
      <c r="E35" s="76">
        <f>D35/E15</f>
        <v>2.7889400921658987</v>
      </c>
      <c r="F35" s="9">
        <f t="shared" ref="F35" si="0">D35/$D$37</f>
        <v>0.40886366707201727</v>
      </c>
      <c r="I35" s="48"/>
      <c r="J35" s="76"/>
      <c r="K35" s="9"/>
    </row>
    <row r="36" spans="1:13" ht="5" customHeight="1" x14ac:dyDescent="0.2"/>
    <row r="37" spans="1:13" x14ac:dyDescent="0.2">
      <c r="B37" s="38" t="s">
        <v>29</v>
      </c>
      <c r="C37" s="39"/>
      <c r="D37" s="78">
        <f>SUM(D33:D35)</f>
        <v>7401</v>
      </c>
      <c r="E37" s="79">
        <f>SUM(E33:E35)</f>
        <v>6.8211981566820281</v>
      </c>
      <c r="F37" s="82">
        <f>SUM(F33:F35)</f>
        <v>1</v>
      </c>
      <c r="G37" s="7"/>
      <c r="H37" s="38" t="s">
        <v>29</v>
      </c>
      <c r="I37" s="78">
        <f>SUM(I33:I34)</f>
        <v>7399.5200400000003</v>
      </c>
      <c r="J37" s="79">
        <f>SUM(J33:J34)</f>
        <v>6.8198341382488481</v>
      </c>
      <c r="K37" s="82">
        <f>SUM(K33:K34)</f>
        <v>1</v>
      </c>
    </row>
    <row r="39" spans="1:13" x14ac:dyDescent="0.2">
      <c r="A39" s="4" t="s">
        <v>0</v>
      </c>
      <c r="B39" s="5" t="s">
        <v>99</v>
      </c>
      <c r="C39" s="5"/>
      <c r="D39" s="5"/>
      <c r="E39" s="5"/>
      <c r="F39" s="5"/>
      <c r="G39" s="5"/>
      <c r="H39" s="5"/>
      <c r="I39" s="5"/>
      <c r="J39" s="5"/>
      <c r="K39" s="5"/>
    </row>
    <row r="40" spans="1:13" ht="5" customHeight="1" x14ac:dyDescent="0.2"/>
    <row r="41" spans="1:13" x14ac:dyDescent="0.2">
      <c r="B41" s="6" t="s">
        <v>2</v>
      </c>
      <c r="C41" s="6"/>
      <c r="D41" s="50">
        <v>2015</v>
      </c>
      <c r="E41" s="50">
        <f>D41+1</f>
        <v>2016</v>
      </c>
      <c r="F41" s="50">
        <f t="shared" ref="F41" si="1">E41+1</f>
        <v>2017</v>
      </c>
      <c r="G41" s="50">
        <v>2018</v>
      </c>
      <c r="H41" s="50">
        <v>2019</v>
      </c>
      <c r="I41" s="50">
        <v>2020</v>
      </c>
      <c r="J41" s="50">
        <v>2021</v>
      </c>
      <c r="K41" s="50">
        <v>2022</v>
      </c>
      <c r="M41" s="110"/>
    </row>
    <row r="42" spans="1:13" ht="5" customHeight="1" x14ac:dyDescent="0.2">
      <c r="M42" s="111"/>
    </row>
    <row r="43" spans="1:13" x14ac:dyDescent="0.2">
      <c r="B43" t="s">
        <v>61</v>
      </c>
      <c r="D43" s="55" t="s">
        <v>101</v>
      </c>
      <c r="E43" s="54">
        <f>E50/D50-1</f>
        <v>4.8800434612441324E-2</v>
      </c>
      <c r="F43" s="54">
        <f>F50/E50-1</f>
        <v>4.9376704246621994E-3</v>
      </c>
      <c r="G43" s="54">
        <f t="shared" ref="G43:K43" si="2">G50/F50-1</f>
        <v>6.2228234749752254E-2</v>
      </c>
      <c r="H43" s="54">
        <f t="shared" si="2"/>
        <v>0.17885616610305544</v>
      </c>
      <c r="I43" s="54">
        <f t="shared" si="2"/>
        <v>0.14083384939236976</v>
      </c>
      <c r="J43" s="54">
        <f t="shared" si="2"/>
        <v>9.2436093594344904E-2</v>
      </c>
      <c r="K43" s="54">
        <f t="shared" si="2"/>
        <v>0.2299928078986484</v>
      </c>
      <c r="M43" s="109"/>
    </row>
    <row r="44" spans="1:13" x14ac:dyDescent="0.2">
      <c r="B44" t="s">
        <v>62</v>
      </c>
      <c r="D44" s="54">
        <f>$D$56/$D$50</f>
        <v>1</v>
      </c>
      <c r="E44" s="54">
        <f>E56/E50</f>
        <v>0.99393930713796375</v>
      </c>
      <c r="F44" s="54">
        <f>F56/F50</f>
        <v>0.99934710623007617</v>
      </c>
      <c r="G44" s="54">
        <f t="shared" ref="G44:K44" si="3">G56/G50</f>
        <v>1</v>
      </c>
      <c r="H44" s="54">
        <f t="shared" si="3"/>
        <v>1</v>
      </c>
      <c r="I44" s="54">
        <f t="shared" si="3"/>
        <v>1</v>
      </c>
      <c r="J44" s="54">
        <f t="shared" si="3"/>
        <v>1</v>
      </c>
      <c r="K44" s="54">
        <f t="shared" si="3"/>
        <v>1</v>
      </c>
      <c r="M44" s="109"/>
    </row>
    <row r="45" spans="1:13" x14ac:dyDescent="0.2">
      <c r="B45" t="s">
        <v>102</v>
      </c>
      <c r="D45" s="54">
        <f>D62/D50</f>
        <v>0.1570286128202325</v>
      </c>
      <c r="E45" s="54">
        <f>E62/E50</f>
        <v>0.15813976433556373</v>
      </c>
      <c r="F45" s="54">
        <f t="shared" ref="F45:K45" si="4">F62/F50</f>
        <v>0.17646627541602378</v>
      </c>
      <c r="G45" s="54">
        <f t="shared" si="4"/>
        <v>0.17004525388748723</v>
      </c>
      <c r="H45" s="54">
        <f t="shared" si="4"/>
        <v>0.17796936069927907</v>
      </c>
      <c r="I45" s="54">
        <f t="shared" si="4"/>
        <v>0.16797694626207565</v>
      </c>
      <c r="J45" s="54">
        <f t="shared" si="4"/>
        <v>0.16545567157261062</v>
      </c>
      <c r="K45" s="54">
        <f t="shared" si="4"/>
        <v>0.15780537265876105</v>
      </c>
      <c r="M45" s="109"/>
    </row>
    <row r="46" spans="1:13" x14ac:dyDescent="0.2">
      <c r="B46" t="s">
        <v>63</v>
      </c>
      <c r="D46" s="54">
        <f>D68/D65</f>
        <v>0.279578761197393</v>
      </c>
      <c r="E46" s="54">
        <f>E68/E65</f>
        <v>0.27133656690884916</v>
      </c>
      <c r="F46" s="54">
        <f t="shared" ref="F46:K46" si="5">F68/F65</f>
        <v>0.27605893152951699</v>
      </c>
      <c r="G46" s="54">
        <f t="shared" si="5"/>
        <v>0.25430630902326035</v>
      </c>
      <c r="H46" s="54">
        <f t="shared" si="5"/>
        <v>0.23730962122493293</v>
      </c>
      <c r="I46" s="54">
        <f t="shared" si="5"/>
        <v>0.21812548667660916</v>
      </c>
      <c r="J46" s="54">
        <f t="shared" si="5"/>
        <v>0.25377221257346949</v>
      </c>
      <c r="K46" s="54">
        <f t="shared" si="5"/>
        <v>0.25197919389408757</v>
      </c>
      <c r="M46" s="109"/>
    </row>
    <row r="48" spans="1:13" x14ac:dyDescent="0.2">
      <c r="B48" s="6" t="s">
        <v>49</v>
      </c>
      <c r="C48" s="6"/>
      <c r="D48" s="50">
        <v>2015</v>
      </c>
      <c r="E48" s="50">
        <f>D48+1</f>
        <v>2016</v>
      </c>
      <c r="F48" s="50">
        <f t="shared" ref="F48" si="6">E48+1</f>
        <v>2017</v>
      </c>
      <c r="G48" s="50">
        <v>2018</v>
      </c>
      <c r="H48" s="50">
        <v>2019</v>
      </c>
      <c r="I48" s="50">
        <v>2020</v>
      </c>
      <c r="J48" s="50">
        <v>2021</v>
      </c>
      <c r="K48" s="50">
        <v>2022</v>
      </c>
    </row>
    <row r="49" spans="1:11" ht="5" customHeight="1" x14ac:dyDescent="0.2"/>
    <row r="50" spans="1:11" x14ac:dyDescent="0.2">
      <c r="B50" t="s">
        <v>50</v>
      </c>
      <c r="D50" s="108">
        <v>5991.5450000000001</v>
      </c>
      <c r="E50" s="108">
        <v>6283.9350000000004</v>
      </c>
      <c r="F50" s="108">
        <v>6314.9629999999997</v>
      </c>
      <c r="G50" s="108">
        <v>6707.9319999999998</v>
      </c>
      <c r="H50" s="108">
        <v>7907.6869999999999</v>
      </c>
      <c r="I50" s="108">
        <v>9021.357</v>
      </c>
      <c r="J50" s="108">
        <v>9855.2559999999994</v>
      </c>
      <c r="K50" s="108">
        <v>12121.894</v>
      </c>
    </row>
    <row r="51" spans="1:11" x14ac:dyDescent="0.2">
      <c r="B51" s="69" t="s">
        <v>51</v>
      </c>
      <c r="D51" s="56" t="str">
        <f>D43</f>
        <v>-</v>
      </c>
      <c r="E51" s="56">
        <f>E43</f>
        <v>4.8800434612441324E-2</v>
      </c>
      <c r="F51" s="56">
        <f>F43</f>
        <v>4.9376704246621994E-3</v>
      </c>
      <c r="G51" s="56">
        <f>G43</f>
        <v>6.2228234749752254E-2</v>
      </c>
      <c r="H51" s="56">
        <f>H43</f>
        <v>0.17885616610305544</v>
      </c>
      <c r="I51" s="56">
        <f t="shared" ref="I51:K51" si="7">I43</f>
        <v>0.14083384939236976</v>
      </c>
      <c r="J51" s="56">
        <f t="shared" si="7"/>
        <v>9.2436093594344904E-2</v>
      </c>
      <c r="K51" s="56">
        <f t="shared" si="7"/>
        <v>0.2299928078986484</v>
      </c>
    </row>
    <row r="52" spans="1:11" x14ac:dyDescent="0.2">
      <c r="D52" s="104"/>
      <c r="E52" s="104"/>
      <c r="F52" s="104"/>
      <c r="G52" s="104"/>
      <c r="H52" s="104"/>
      <c r="I52" s="104"/>
      <c r="J52" s="104"/>
      <c r="K52" s="104"/>
    </row>
    <row r="53" spans="1:11" x14ac:dyDescent="0.2">
      <c r="B53" t="s">
        <v>52</v>
      </c>
      <c r="D53" s="49">
        <v>0</v>
      </c>
      <c r="E53" s="49">
        <v>38.085000000000001</v>
      </c>
      <c r="F53" s="49">
        <v>4.1230000000000002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</row>
    <row r="54" spans="1:11" x14ac:dyDescent="0.2">
      <c r="B54" s="69" t="s">
        <v>53</v>
      </c>
      <c r="D54" s="107">
        <f>D53/D50</f>
        <v>0</v>
      </c>
      <c r="E54" s="107">
        <f>E53/E50</f>
        <v>6.0606928620362873E-3</v>
      </c>
      <c r="F54" s="107">
        <f t="shared" ref="F54:K54" si="8">F53/F50</f>
        <v>6.5289376992390933E-4</v>
      </c>
      <c r="G54" s="107">
        <f t="shared" si="8"/>
        <v>0</v>
      </c>
      <c r="H54" s="107">
        <f t="shared" si="8"/>
        <v>0</v>
      </c>
      <c r="I54" s="107">
        <f t="shared" si="8"/>
        <v>0</v>
      </c>
      <c r="J54" s="107">
        <f t="shared" si="8"/>
        <v>0</v>
      </c>
      <c r="K54" s="107">
        <f t="shared" si="8"/>
        <v>0</v>
      </c>
    </row>
    <row r="55" spans="1:11" x14ac:dyDescent="0.2">
      <c r="D55" s="103"/>
      <c r="E55" s="103"/>
      <c r="F55" s="103"/>
      <c r="G55" s="103"/>
      <c r="H55" s="103"/>
      <c r="I55" s="103"/>
      <c r="J55" s="103"/>
      <c r="K55" s="103"/>
    </row>
    <row r="56" spans="1:11" x14ac:dyDescent="0.2">
      <c r="B56" t="s">
        <v>54</v>
      </c>
      <c r="D56" s="108">
        <f>D50-D53</f>
        <v>5991.5450000000001</v>
      </c>
      <c r="E56" s="108">
        <f>E50-E53</f>
        <v>6245.85</v>
      </c>
      <c r="F56" s="108">
        <f t="shared" ref="F56:K56" si="9">F50-F53</f>
        <v>6310.84</v>
      </c>
      <c r="G56" s="108">
        <f t="shared" si="9"/>
        <v>6707.9319999999998</v>
      </c>
      <c r="H56" s="108">
        <f t="shared" si="9"/>
        <v>7907.6869999999999</v>
      </c>
      <c r="I56" s="108">
        <f t="shared" si="9"/>
        <v>9021.357</v>
      </c>
      <c r="J56" s="108">
        <f t="shared" si="9"/>
        <v>9855.2559999999994</v>
      </c>
      <c r="K56" s="108">
        <f t="shared" si="9"/>
        <v>12121.894</v>
      </c>
    </row>
    <row r="57" spans="1:11" x14ac:dyDescent="0.2">
      <c r="B57" s="69" t="s">
        <v>53</v>
      </c>
      <c r="D57" s="56">
        <f>D44</f>
        <v>1</v>
      </c>
      <c r="E57" s="56">
        <f>E44</f>
        <v>0.99393930713796375</v>
      </c>
      <c r="F57" s="56">
        <f t="shared" ref="F57:K57" si="10">F44</f>
        <v>0.99934710623007617</v>
      </c>
      <c r="G57" s="56">
        <f t="shared" si="10"/>
        <v>1</v>
      </c>
      <c r="H57" s="56">
        <f t="shared" si="10"/>
        <v>1</v>
      </c>
      <c r="I57" s="56">
        <f t="shared" si="10"/>
        <v>1</v>
      </c>
      <c r="J57" s="56">
        <f t="shared" si="10"/>
        <v>1</v>
      </c>
      <c r="K57" s="56">
        <f t="shared" si="10"/>
        <v>1</v>
      </c>
    </row>
    <row r="58" spans="1:11" x14ac:dyDescent="0.2">
      <c r="D58" s="104"/>
      <c r="E58" s="104"/>
      <c r="F58" s="104"/>
      <c r="G58" s="104"/>
      <c r="H58" s="104"/>
      <c r="I58" s="104"/>
      <c r="J58" s="104"/>
      <c r="K58" s="104"/>
    </row>
    <row r="59" spans="1:11" x14ac:dyDescent="0.2">
      <c r="B59" t="s">
        <v>55</v>
      </c>
      <c r="D59" s="49">
        <v>5050.701</v>
      </c>
      <c r="E59" s="49">
        <v>5252.11</v>
      </c>
      <c r="F59" s="49">
        <v>5196.4620000000004</v>
      </c>
      <c r="G59" s="105">
        <v>5567.28</v>
      </c>
      <c r="H59" s="105">
        <v>6500.3609999999999</v>
      </c>
      <c r="I59" s="105">
        <v>7505.9769999999999</v>
      </c>
      <c r="J59" s="105">
        <v>8224.6479999999992</v>
      </c>
      <c r="K59" s="105">
        <v>10208.994000000001</v>
      </c>
    </row>
    <row r="60" spans="1:11" ht="14.5" customHeight="1" x14ac:dyDescent="0.2">
      <c r="B60" s="69" t="s">
        <v>53</v>
      </c>
      <c r="D60" s="107">
        <f>D59/D50</f>
        <v>0.8429713871797675</v>
      </c>
      <c r="E60" s="107">
        <f>E59/E50</f>
        <v>0.83579954280239999</v>
      </c>
      <c r="F60" s="107">
        <f t="shared" ref="F60:K60" si="11">F59/F50</f>
        <v>0.82288083081405239</v>
      </c>
      <c r="G60" s="107">
        <f t="shared" si="11"/>
        <v>0.82995474611251274</v>
      </c>
      <c r="H60" s="107">
        <f t="shared" si="11"/>
        <v>0.82203063930072096</v>
      </c>
      <c r="I60" s="107">
        <f t="shared" si="11"/>
        <v>0.83202305373792429</v>
      </c>
      <c r="J60" s="107">
        <f t="shared" si="11"/>
        <v>0.83454432842738935</v>
      </c>
      <c r="K60" s="107">
        <f t="shared" si="11"/>
        <v>0.84219462734123895</v>
      </c>
    </row>
    <row r="61" spans="1:11" x14ac:dyDescent="0.2">
      <c r="D61" s="51"/>
      <c r="E61" s="51"/>
      <c r="F61" s="51"/>
      <c r="G61" s="19"/>
    </row>
    <row r="62" spans="1:11" x14ac:dyDescent="0.2">
      <c r="A62" s="4" t="s">
        <v>0</v>
      </c>
      <c r="B62" s="60" t="s">
        <v>56</v>
      </c>
      <c r="C62" s="61"/>
      <c r="D62" s="62">
        <f>D56-D59</f>
        <v>940.84400000000005</v>
      </c>
      <c r="E62" s="62">
        <f>E56-E59</f>
        <v>993.74000000000069</v>
      </c>
      <c r="F62" s="62">
        <f t="shared" ref="F62:K62" si="12">F56-F59</f>
        <v>1114.3779999999997</v>
      </c>
      <c r="G62" s="62">
        <f t="shared" si="12"/>
        <v>1140.652</v>
      </c>
      <c r="H62" s="62">
        <f t="shared" si="12"/>
        <v>1407.326</v>
      </c>
      <c r="I62" s="62">
        <f t="shared" si="12"/>
        <v>1515.38</v>
      </c>
      <c r="J62" s="62">
        <f t="shared" si="12"/>
        <v>1630.6080000000002</v>
      </c>
      <c r="K62" s="135">
        <f t="shared" si="12"/>
        <v>1912.8999999999996</v>
      </c>
    </row>
    <row r="63" spans="1:11" x14ac:dyDescent="0.2">
      <c r="B63" s="70" t="s">
        <v>53</v>
      </c>
      <c r="C63" s="66"/>
      <c r="D63" s="67">
        <f>D62/D50</f>
        <v>0.1570286128202325</v>
      </c>
      <c r="E63" s="67">
        <f>E62/E50</f>
        <v>0.15813976433556373</v>
      </c>
      <c r="F63" s="67">
        <f t="shared" ref="F63:K63" si="13">F62/F50</f>
        <v>0.17646627541602378</v>
      </c>
      <c r="G63" s="67">
        <f t="shared" si="13"/>
        <v>0.17004525388748723</v>
      </c>
      <c r="H63" s="67">
        <f t="shared" si="13"/>
        <v>0.17796936069927907</v>
      </c>
      <c r="I63" s="67">
        <f t="shared" si="13"/>
        <v>0.16797694626207565</v>
      </c>
      <c r="J63" s="67">
        <f t="shared" si="13"/>
        <v>0.16545567157261062</v>
      </c>
      <c r="K63" s="68">
        <f t="shared" si="13"/>
        <v>0.15780537265876105</v>
      </c>
    </row>
    <row r="65" spans="1:22 16384:16384" x14ac:dyDescent="0.2">
      <c r="B65" t="s">
        <v>57</v>
      </c>
      <c r="D65" s="49">
        <f>D62</f>
        <v>940.84400000000005</v>
      </c>
      <c r="E65" s="49">
        <f>E62</f>
        <v>993.74000000000069</v>
      </c>
      <c r="F65" s="49">
        <f t="shared" ref="F65:K65" si="14">F62</f>
        <v>1114.3779999999997</v>
      </c>
      <c r="G65" s="49">
        <f t="shared" si="14"/>
        <v>1140.652</v>
      </c>
      <c r="H65" s="49">
        <f t="shared" si="14"/>
        <v>1407.326</v>
      </c>
      <c r="I65" s="49">
        <f t="shared" si="14"/>
        <v>1515.38</v>
      </c>
      <c r="J65" s="49">
        <f t="shared" si="14"/>
        <v>1630.6080000000002</v>
      </c>
      <c r="K65" s="49">
        <f t="shared" si="14"/>
        <v>1912.8999999999996</v>
      </c>
    </row>
    <row r="66" spans="1:22 16384:16384" x14ac:dyDescent="0.2">
      <c r="B66" s="69" t="s">
        <v>53</v>
      </c>
      <c r="D66" s="57">
        <f t="shared" ref="D66:K66" si="15">D65/D50</f>
        <v>0.1570286128202325</v>
      </c>
      <c r="E66" s="57">
        <f t="shared" si="15"/>
        <v>0.15813976433556373</v>
      </c>
      <c r="F66" s="57">
        <f t="shared" si="15"/>
        <v>0.17646627541602378</v>
      </c>
      <c r="G66" s="57">
        <f t="shared" si="15"/>
        <v>0.17004525388748723</v>
      </c>
      <c r="H66" s="57">
        <f t="shared" si="15"/>
        <v>0.17796936069927907</v>
      </c>
      <c r="I66" s="57">
        <f t="shared" si="15"/>
        <v>0.16797694626207565</v>
      </c>
      <c r="J66" s="57">
        <f t="shared" si="15"/>
        <v>0.16545567157261062</v>
      </c>
      <c r="K66" s="57">
        <f t="shared" si="15"/>
        <v>0.15780537265876105</v>
      </c>
    </row>
    <row r="67" spans="1:22 16384:16384" x14ac:dyDescent="0.2">
      <c r="L67" s="58"/>
      <c r="M67" s="59"/>
      <c r="N67" s="58"/>
      <c r="P67" s="58"/>
      <c r="Q67" s="59"/>
      <c r="R67" s="58"/>
      <c r="T67" s="58"/>
      <c r="U67" s="59"/>
      <c r="V67" s="58"/>
    </row>
    <row r="68" spans="1:22 16384:16384" x14ac:dyDescent="0.2">
      <c r="B68" t="s">
        <v>58</v>
      </c>
      <c r="D68" s="49">
        <v>263.04000000000002</v>
      </c>
      <c r="E68" s="49">
        <v>269.63799999999998</v>
      </c>
      <c r="F68" s="49">
        <v>307.63400000000001</v>
      </c>
      <c r="G68" s="49">
        <v>290.07499999999999</v>
      </c>
      <c r="H68" s="49">
        <v>333.97199999999998</v>
      </c>
      <c r="I68" s="49">
        <v>330.54300000000001</v>
      </c>
      <c r="J68" s="49">
        <v>413.803</v>
      </c>
      <c r="K68" s="49">
        <v>482.01100000000002</v>
      </c>
    </row>
    <row r="69" spans="1:22 16384:16384" x14ac:dyDescent="0.2">
      <c r="B69" s="69" t="s">
        <v>59</v>
      </c>
      <c r="D69" s="56">
        <f>D46</f>
        <v>0.279578761197393</v>
      </c>
      <c r="E69" s="56">
        <f>E46</f>
        <v>0.27133656690884916</v>
      </c>
      <c r="F69" s="56">
        <f t="shared" ref="F69:K69" si="16">F46</f>
        <v>0.27605893152951699</v>
      </c>
      <c r="G69" s="56">
        <f t="shared" si="16"/>
        <v>0.25430630902326035</v>
      </c>
      <c r="H69" s="56">
        <f t="shared" si="16"/>
        <v>0.23730962122493293</v>
      </c>
      <c r="I69" s="56">
        <f t="shared" si="16"/>
        <v>0.21812548667660916</v>
      </c>
      <c r="J69" s="56">
        <f t="shared" si="16"/>
        <v>0.25377221257346949</v>
      </c>
      <c r="K69" s="56">
        <f t="shared" si="16"/>
        <v>0.25197919389408757</v>
      </c>
    </row>
    <row r="70" spans="1:22 16384:16384" x14ac:dyDescent="0.2">
      <c r="B70" s="69"/>
      <c r="D70" s="56"/>
      <c r="E70" s="56"/>
      <c r="F70" s="56"/>
      <c r="G70" s="56"/>
      <c r="H70" s="56"/>
      <c r="I70" s="56"/>
      <c r="J70" s="56"/>
      <c r="K70" s="56"/>
      <c r="XFD70" s="19">
        <f>XFD62</f>
        <v>0</v>
      </c>
    </row>
    <row r="71" spans="1:22 16384:16384" x14ac:dyDescent="0.2">
      <c r="B71" t="s">
        <v>100</v>
      </c>
      <c r="D71" s="106">
        <v>3.165</v>
      </c>
      <c r="E71" s="106">
        <v>54.829000000000001</v>
      </c>
      <c r="F71" s="106">
        <v>15.167999999999999</v>
      </c>
      <c r="G71" s="106">
        <v>13.077999999999999</v>
      </c>
      <c r="H71" s="106">
        <v>0</v>
      </c>
      <c r="I71" s="106">
        <v>0</v>
      </c>
      <c r="J71" s="106">
        <v>0</v>
      </c>
      <c r="K71" s="106">
        <v>0</v>
      </c>
    </row>
    <row r="72" spans="1:22 16384:16384" x14ac:dyDescent="0.2">
      <c r="B72" s="69" t="s">
        <v>53</v>
      </c>
      <c r="D72" s="107">
        <f t="shared" ref="D72:K72" si="17">D71/D50</f>
        <v>5.2824438437831973E-4</v>
      </c>
      <c r="E72" s="107">
        <f t="shared" si="17"/>
        <v>8.725265299529673E-3</v>
      </c>
      <c r="F72" s="107">
        <f t="shared" si="17"/>
        <v>2.4019143105034821E-3</v>
      </c>
      <c r="G72" s="107">
        <f t="shared" si="17"/>
        <v>1.9496321668138557E-3</v>
      </c>
      <c r="H72" s="107">
        <f t="shared" si="17"/>
        <v>0</v>
      </c>
      <c r="I72" s="107">
        <f t="shared" si="17"/>
        <v>0</v>
      </c>
      <c r="J72" s="107">
        <f t="shared" si="17"/>
        <v>0</v>
      </c>
      <c r="K72" s="107">
        <f t="shared" si="17"/>
        <v>0</v>
      </c>
    </row>
    <row r="74" spans="1:22 16384:16384" x14ac:dyDescent="0.2">
      <c r="A74" s="4" t="s">
        <v>0</v>
      </c>
      <c r="B74" s="60" t="s">
        <v>60</v>
      </c>
      <c r="C74" s="61"/>
      <c r="D74" s="63">
        <f>D65-D68-D71</f>
        <v>674.63900000000012</v>
      </c>
      <c r="E74" s="63">
        <f>E65-E68-E71</f>
        <v>669.27300000000082</v>
      </c>
      <c r="F74" s="63">
        <f t="shared" ref="F74:K74" si="18">F65-F68-F71</f>
        <v>791.57599999999968</v>
      </c>
      <c r="G74" s="63">
        <f t="shared" si="18"/>
        <v>837.49900000000002</v>
      </c>
      <c r="H74" s="63">
        <f t="shared" si="18"/>
        <v>1073.354</v>
      </c>
      <c r="I74" s="63">
        <f t="shared" si="18"/>
        <v>1184.837</v>
      </c>
      <c r="J74" s="63">
        <f t="shared" si="18"/>
        <v>1216.8050000000003</v>
      </c>
      <c r="K74" s="64">
        <f t="shared" si="18"/>
        <v>1430.8889999999997</v>
      </c>
    </row>
    <row r="75" spans="1:22 16384:16384" x14ac:dyDescent="0.2">
      <c r="B75" s="70" t="s">
        <v>53</v>
      </c>
      <c r="C75" s="66"/>
      <c r="D75" s="67">
        <f t="shared" ref="D75:K75" si="19">D74/D50</f>
        <v>0.11259850339102855</v>
      </c>
      <c r="E75" s="67">
        <f t="shared" si="19"/>
        <v>0.10650539828944774</v>
      </c>
      <c r="F75" s="67">
        <f t="shared" si="19"/>
        <v>0.1253492696631793</v>
      </c>
      <c r="G75" s="67">
        <f t="shared" si="19"/>
        <v>0.12485204083762329</v>
      </c>
      <c r="H75" s="67">
        <f t="shared" si="19"/>
        <v>0.1357355191220897</v>
      </c>
      <c r="I75" s="67">
        <f t="shared" si="19"/>
        <v>0.13133689310820978</v>
      </c>
      <c r="J75" s="67">
        <f t="shared" si="19"/>
        <v>0.12346761971479994</v>
      </c>
      <c r="K75" s="68">
        <f t="shared" si="19"/>
        <v>0.11804170206405036</v>
      </c>
    </row>
    <row r="76" spans="1:22 16384:16384" ht="5" customHeight="1" x14ac:dyDescent="0.2"/>
    <row r="77" spans="1:22 16384:16384" x14ac:dyDescent="0.2">
      <c r="B77" s="73" t="s">
        <v>64</v>
      </c>
    </row>
    <row r="78" spans="1:22 16384:16384" x14ac:dyDescent="0.2">
      <c r="B78" t="s">
        <v>56</v>
      </c>
      <c r="D78" s="48">
        <f>D62</f>
        <v>940.84400000000005</v>
      </c>
      <c r="E78" s="48">
        <f>E62</f>
        <v>993.74000000000069</v>
      </c>
      <c r="F78" s="48">
        <f t="shared" ref="F78:K78" si="20">F62</f>
        <v>1114.3779999999997</v>
      </c>
      <c r="G78" s="48">
        <f t="shared" si="20"/>
        <v>1140.652</v>
      </c>
      <c r="H78" s="48">
        <f t="shared" si="20"/>
        <v>1407.326</v>
      </c>
      <c r="I78" s="48">
        <f t="shared" si="20"/>
        <v>1515.38</v>
      </c>
      <c r="J78" s="48">
        <f t="shared" si="20"/>
        <v>1630.6080000000002</v>
      </c>
      <c r="K78" s="48">
        <f t="shared" si="20"/>
        <v>1912.8999999999996</v>
      </c>
    </row>
    <row r="79" spans="1:22 16384:16384" x14ac:dyDescent="0.2">
      <c r="B79" t="s">
        <v>65</v>
      </c>
      <c r="D79" s="49">
        <v>98.07</v>
      </c>
      <c r="E79" s="49">
        <v>74.42</v>
      </c>
      <c r="F79" s="48"/>
      <c r="G79" s="52"/>
      <c r="I79" s="52"/>
      <c r="J79" s="53"/>
      <c r="K79" s="52"/>
    </row>
    <row r="80" spans="1:22 16384:16384" x14ac:dyDescent="0.2">
      <c r="B80" s="3" t="s">
        <v>66</v>
      </c>
      <c r="C80" s="3"/>
      <c r="D80" s="74"/>
      <c r="E80" s="74"/>
      <c r="F80" s="74"/>
      <c r="G80" s="3"/>
      <c r="H80" s="3"/>
      <c r="I80" s="3"/>
      <c r="J80" s="3"/>
      <c r="K80" s="3"/>
    </row>
    <row r="81" spans="1:11" x14ac:dyDescent="0.2">
      <c r="A81" s="4" t="s">
        <v>0</v>
      </c>
      <c r="B81" s="60" t="s">
        <v>67</v>
      </c>
      <c r="C81" s="61"/>
      <c r="D81" s="63">
        <f t="shared" ref="D81:K81" si="21">SUM(D78:D80)</f>
        <v>1038.914</v>
      </c>
      <c r="E81" s="63">
        <f t="shared" si="21"/>
        <v>1068.1600000000008</v>
      </c>
      <c r="F81" s="63">
        <f t="shared" si="21"/>
        <v>1114.3779999999997</v>
      </c>
      <c r="G81" s="63">
        <f t="shared" si="21"/>
        <v>1140.652</v>
      </c>
      <c r="H81" s="63">
        <f t="shared" si="21"/>
        <v>1407.326</v>
      </c>
      <c r="I81" s="63">
        <f t="shared" si="21"/>
        <v>1515.38</v>
      </c>
      <c r="J81" s="63">
        <f t="shared" si="21"/>
        <v>1630.6080000000002</v>
      </c>
      <c r="K81" s="64">
        <f t="shared" si="21"/>
        <v>1912.8999999999996</v>
      </c>
    </row>
    <row r="82" spans="1:11" x14ac:dyDescent="0.2">
      <c r="B82" s="70" t="s">
        <v>53</v>
      </c>
      <c r="C82" s="66"/>
      <c r="D82" s="67">
        <f t="shared" ref="D82:K82" si="22">D81/D50</f>
        <v>0.17339667815229629</v>
      </c>
      <c r="E82" s="67">
        <f t="shared" si="22"/>
        <v>0.16998266213765748</v>
      </c>
      <c r="F82" s="67">
        <f t="shared" si="22"/>
        <v>0.17646627541602378</v>
      </c>
      <c r="G82" s="67">
        <f t="shared" si="22"/>
        <v>0.17004525388748723</v>
      </c>
      <c r="H82" s="67">
        <f t="shared" si="22"/>
        <v>0.17796936069927907</v>
      </c>
      <c r="I82" s="67">
        <f t="shared" si="22"/>
        <v>0.16797694626207565</v>
      </c>
      <c r="J82" s="67">
        <f t="shared" si="22"/>
        <v>0.16545567157261062</v>
      </c>
      <c r="K82" s="68">
        <f t="shared" si="22"/>
        <v>0.15780537265876105</v>
      </c>
    </row>
    <row r="84" spans="1:11" x14ac:dyDescent="0.2">
      <c r="B84" s="6" t="s">
        <v>68</v>
      </c>
      <c r="C84" s="6"/>
      <c r="D84" s="50">
        <v>2015</v>
      </c>
      <c r="E84" s="50">
        <f>D84+1</f>
        <v>2016</v>
      </c>
      <c r="F84" s="50">
        <f t="shared" ref="F84" si="23">E84+1</f>
        <v>2017</v>
      </c>
      <c r="G84" s="50">
        <v>2018</v>
      </c>
      <c r="H84" s="50">
        <v>2019</v>
      </c>
      <c r="I84" s="50">
        <v>2020</v>
      </c>
      <c r="J84" s="50">
        <v>2021</v>
      </c>
      <c r="K84" s="50">
        <v>2022</v>
      </c>
    </row>
    <row r="86" spans="1:11" x14ac:dyDescent="0.2">
      <c r="B86" s="73" t="s">
        <v>109</v>
      </c>
    </row>
    <row r="87" spans="1:11" x14ac:dyDescent="0.2">
      <c r="B87" s="113" t="s">
        <v>104</v>
      </c>
      <c r="C87" s="59"/>
      <c r="D87" s="118">
        <v>98.07</v>
      </c>
      <c r="E87" s="118">
        <v>77.281999999999996</v>
      </c>
      <c r="F87" s="116">
        <v>79.221999999999994</v>
      </c>
      <c r="G87" s="116">
        <v>70.825000000000003</v>
      </c>
      <c r="H87" s="116">
        <v>75.843999999999994</v>
      </c>
      <c r="I87" s="116">
        <v>231.631</v>
      </c>
      <c r="J87" s="116">
        <v>241.78800000000001</v>
      </c>
      <c r="K87" s="116">
        <v>290.75200000000001</v>
      </c>
    </row>
    <row r="88" spans="1:11" x14ac:dyDescent="0.2">
      <c r="B88" t="s">
        <v>105</v>
      </c>
      <c r="C88" s="59"/>
      <c r="D88" s="118">
        <v>-8.625</v>
      </c>
      <c r="E88" s="118">
        <v>-0.67700000000000005</v>
      </c>
      <c r="F88" s="116"/>
      <c r="G88" s="117"/>
      <c r="H88" s="117"/>
      <c r="I88" s="117"/>
      <c r="J88" s="117"/>
      <c r="K88" s="117"/>
    </row>
    <row r="89" spans="1:11" x14ac:dyDescent="0.2">
      <c r="B89" s="113" t="s">
        <v>107</v>
      </c>
      <c r="D89" s="118">
        <v>3.5289999999999999</v>
      </c>
      <c r="E89" s="118">
        <v>9.4529999999999994</v>
      </c>
      <c r="F89" s="117"/>
      <c r="G89" s="117"/>
      <c r="H89" s="117"/>
      <c r="I89" s="117"/>
      <c r="J89" s="117"/>
      <c r="K89" s="117"/>
    </row>
    <row r="90" spans="1:11" x14ac:dyDescent="0.2">
      <c r="B90" s="113" t="s">
        <v>108</v>
      </c>
      <c r="D90" s="118">
        <v>21.06</v>
      </c>
      <c r="E90" s="118">
        <v>2.657</v>
      </c>
      <c r="F90" s="117"/>
      <c r="G90" s="117"/>
      <c r="H90" s="117"/>
      <c r="I90" s="117"/>
      <c r="J90" s="117"/>
      <c r="K90" s="117"/>
    </row>
    <row r="91" spans="1:11" x14ac:dyDescent="0.2">
      <c r="B91" s="113" t="s">
        <v>106</v>
      </c>
      <c r="C91" s="114"/>
      <c r="D91" s="118">
        <v>0</v>
      </c>
      <c r="E91" s="118">
        <v>0.77</v>
      </c>
      <c r="F91" s="116"/>
      <c r="G91" s="117"/>
      <c r="H91" s="117"/>
      <c r="I91" s="117"/>
      <c r="J91" s="117"/>
      <c r="K91" s="117"/>
    </row>
    <row r="92" spans="1:11" x14ac:dyDescent="0.2">
      <c r="B92" s="113" t="s">
        <v>113</v>
      </c>
      <c r="C92" s="59"/>
      <c r="D92" s="118">
        <v>23.411999999999999</v>
      </c>
      <c r="E92" s="118">
        <v>19.396999999999998</v>
      </c>
      <c r="F92" s="116"/>
      <c r="G92" s="117"/>
      <c r="H92" s="117"/>
      <c r="I92" s="117"/>
      <c r="J92" s="117"/>
      <c r="K92" s="117"/>
    </row>
    <row r="93" spans="1:11" x14ac:dyDescent="0.2">
      <c r="B93" s="113" t="s">
        <v>111</v>
      </c>
      <c r="C93" s="59"/>
      <c r="D93" s="118">
        <v>-54.841000000000001</v>
      </c>
      <c r="E93" s="118">
        <v>-64.602999999999994</v>
      </c>
      <c r="F93" s="116"/>
      <c r="G93" s="117"/>
      <c r="H93" s="117"/>
      <c r="I93" s="117"/>
      <c r="J93" s="117"/>
      <c r="K93" s="117"/>
    </row>
    <row r="94" spans="1:11" x14ac:dyDescent="0.2">
      <c r="B94" s="113" t="s">
        <v>112</v>
      </c>
      <c r="C94" s="59"/>
      <c r="D94" s="118">
        <v>-80.576999999999998</v>
      </c>
      <c r="E94" s="118">
        <v>-76.457999999999998</v>
      </c>
      <c r="F94" s="116"/>
      <c r="G94" s="117"/>
      <c r="H94" s="117"/>
      <c r="I94" s="117"/>
      <c r="J94" s="117"/>
      <c r="K94" s="117"/>
    </row>
    <row r="95" spans="1:11" x14ac:dyDescent="0.2">
      <c r="B95" s="113" t="s">
        <v>114</v>
      </c>
      <c r="C95" s="59"/>
      <c r="D95" s="118">
        <v>-22.434999999999999</v>
      </c>
      <c r="E95" s="118">
        <v>-29.832000000000001</v>
      </c>
      <c r="F95" s="116"/>
      <c r="G95" s="117"/>
      <c r="H95" s="117"/>
      <c r="I95" s="117"/>
      <c r="J95" s="117"/>
      <c r="K95" s="117"/>
    </row>
    <row r="96" spans="1:11" x14ac:dyDescent="0.2">
      <c r="B96" s="113" t="s">
        <v>110</v>
      </c>
      <c r="C96" s="59"/>
      <c r="D96" s="118">
        <v>-1.4590000000000001</v>
      </c>
      <c r="E96" s="118">
        <v>16.622</v>
      </c>
      <c r="F96" s="116"/>
      <c r="G96" s="117"/>
      <c r="H96" s="117"/>
      <c r="I96" s="117"/>
      <c r="J96" s="117"/>
      <c r="K96" s="117"/>
    </row>
    <row r="98" spans="1:13" x14ac:dyDescent="0.2">
      <c r="A98" s="4" t="s">
        <v>0</v>
      </c>
      <c r="B98" s="60" t="s">
        <v>69</v>
      </c>
      <c r="C98" s="61"/>
      <c r="D98" s="63">
        <v>-20.061</v>
      </c>
      <c r="E98" s="63">
        <v>28.076000000000001</v>
      </c>
      <c r="F98" s="63">
        <v>-104.45699999999999</v>
      </c>
      <c r="G98" s="63">
        <v>-150.24700000000001</v>
      </c>
      <c r="H98" s="63">
        <v>-142.10300000000001</v>
      </c>
      <c r="I98" s="63">
        <v>42.241999999999997</v>
      </c>
      <c r="J98" s="63">
        <v>-45.319000000000003</v>
      </c>
      <c r="K98" s="64">
        <v>-150.11000000000001</v>
      </c>
    </row>
    <row r="99" spans="1:13" x14ac:dyDescent="0.2">
      <c r="B99" s="70" t="s">
        <v>53</v>
      </c>
      <c r="C99" s="66"/>
      <c r="D99" s="67">
        <f>D98/D50</f>
        <v>-3.3482181974766106E-3</v>
      </c>
      <c r="E99" s="67">
        <f>E98/E50</f>
        <v>4.4679010842728325E-3</v>
      </c>
      <c r="F99" s="67">
        <f>F98/F50</f>
        <v>-1.6541189552496189E-2</v>
      </c>
      <c r="G99" s="67">
        <f>G98/G50</f>
        <v>-2.2398408332105935E-2</v>
      </c>
      <c r="H99" s="67">
        <f t="shared" ref="H99:K99" si="24">H98/H50</f>
        <v>-1.7970235797142707E-2</v>
      </c>
      <c r="I99" s="67">
        <f t="shared" si="24"/>
        <v>4.6824441156690724E-3</v>
      </c>
      <c r="J99" s="67">
        <f t="shared" si="24"/>
        <v>-4.5984599486811918E-3</v>
      </c>
      <c r="K99" s="68">
        <f t="shared" si="24"/>
        <v>-1.2383378373049625E-2</v>
      </c>
    </row>
    <row r="100" spans="1:13" ht="5" customHeight="1" x14ac:dyDescent="0.2"/>
    <row r="101" spans="1:13" x14ac:dyDescent="0.2">
      <c r="A101" s="4" t="s">
        <v>0</v>
      </c>
      <c r="B101" s="60" t="s">
        <v>65</v>
      </c>
      <c r="C101" s="61"/>
      <c r="D101" s="83">
        <f>D79</f>
        <v>98.07</v>
      </c>
      <c r="E101" s="83">
        <f>E79</f>
        <v>74.42</v>
      </c>
      <c r="F101" s="83">
        <f t="shared" ref="F101:K101" si="25">F87</f>
        <v>79.221999999999994</v>
      </c>
      <c r="G101" s="83">
        <f t="shared" si="25"/>
        <v>70.825000000000003</v>
      </c>
      <c r="H101" s="83">
        <f t="shared" si="25"/>
        <v>75.843999999999994</v>
      </c>
      <c r="I101" s="83">
        <f t="shared" si="25"/>
        <v>231.631</v>
      </c>
      <c r="J101" s="83">
        <f t="shared" si="25"/>
        <v>241.78800000000001</v>
      </c>
      <c r="K101" s="136">
        <f t="shared" si="25"/>
        <v>290.75200000000001</v>
      </c>
    </row>
    <row r="102" spans="1:13" x14ac:dyDescent="0.2">
      <c r="B102" s="70" t="s">
        <v>53</v>
      </c>
      <c r="C102" s="66"/>
      <c r="D102" s="119">
        <f t="shared" ref="D102:K102" si="26">D101/D50</f>
        <v>1.6368065332063766E-2</v>
      </c>
      <c r="E102" s="119">
        <f t="shared" si="26"/>
        <v>1.1842897802093751E-2</v>
      </c>
      <c r="F102" s="119">
        <f t="shared" si="26"/>
        <v>1.2545124967478035E-2</v>
      </c>
      <c r="G102" s="119">
        <f t="shared" si="26"/>
        <v>1.0558395642651118E-2</v>
      </c>
      <c r="H102" s="119">
        <f t="shared" si="26"/>
        <v>9.5911737528306309E-3</v>
      </c>
      <c r="I102" s="119">
        <f t="shared" si="26"/>
        <v>2.5675848988128948E-2</v>
      </c>
      <c r="J102" s="119">
        <f t="shared" si="26"/>
        <v>2.4533913680172287E-2</v>
      </c>
      <c r="K102" s="137">
        <f t="shared" si="26"/>
        <v>2.3985690684970518E-2</v>
      </c>
      <c r="M102" s="73"/>
    </row>
    <row r="103" spans="1:13" ht="5" customHeight="1" x14ac:dyDescent="0.2"/>
    <row r="104" spans="1:13" x14ac:dyDescent="0.2">
      <c r="A104" s="4" t="s">
        <v>0</v>
      </c>
      <c r="B104" s="60" t="s">
        <v>71</v>
      </c>
      <c r="C104" s="61"/>
      <c r="D104" s="62">
        <v>-72.56</v>
      </c>
      <c r="E104" s="62">
        <v>-127.377</v>
      </c>
      <c r="F104" s="62">
        <v>-118.1</v>
      </c>
      <c r="G104" s="62">
        <v>-32.704999999999998</v>
      </c>
      <c r="H104" s="62">
        <v>-84.89</v>
      </c>
      <c r="I104" s="62">
        <v>-126.11799999999999</v>
      </c>
      <c r="J104" s="62">
        <v>-126.61499999999999</v>
      </c>
      <c r="K104" s="135">
        <v>-120.02500000000001</v>
      </c>
    </row>
    <row r="105" spans="1:13" x14ac:dyDescent="0.2">
      <c r="B105" s="70" t="s">
        <v>53</v>
      </c>
      <c r="C105" s="66"/>
      <c r="D105" s="67">
        <f t="shared" ref="D105:K105" si="27">D104/D50</f>
        <v>-1.2110398903788589E-2</v>
      </c>
      <c r="E105" s="67">
        <f t="shared" si="27"/>
        <v>-2.0270260593083789E-2</v>
      </c>
      <c r="F105" s="67">
        <f t="shared" si="27"/>
        <v>-1.8701613928696018E-2</v>
      </c>
      <c r="G105" s="67">
        <f t="shared" si="27"/>
        <v>-4.875571189451533E-3</v>
      </c>
      <c r="H105" s="67">
        <f t="shared" si="27"/>
        <v>-1.0735123936999529E-2</v>
      </c>
      <c r="I105" s="67">
        <f t="shared" si="27"/>
        <v>-1.3979936721271534E-2</v>
      </c>
      <c r="J105" s="67">
        <f t="shared" si="27"/>
        <v>-1.2847459264376289E-2</v>
      </c>
      <c r="K105" s="68">
        <f t="shared" si="27"/>
        <v>-9.9015054908086157E-3</v>
      </c>
    </row>
    <row r="107" spans="1:13" x14ac:dyDescent="0.2">
      <c r="B107" s="6" t="s">
        <v>70</v>
      </c>
      <c r="C107" s="6"/>
      <c r="D107" s="50">
        <v>2015</v>
      </c>
      <c r="E107" s="50">
        <f>D107+1</f>
        <v>2016</v>
      </c>
      <c r="F107" s="50">
        <f t="shared" ref="F107" si="28">E107+1</f>
        <v>2017</v>
      </c>
      <c r="G107" s="50">
        <v>2018</v>
      </c>
      <c r="H107" s="50">
        <v>2019</v>
      </c>
      <c r="I107" s="50">
        <v>2020</v>
      </c>
      <c r="J107" s="50">
        <v>2021</v>
      </c>
      <c r="K107" s="50">
        <v>2022</v>
      </c>
    </row>
    <row r="109" spans="1:13" x14ac:dyDescent="0.2">
      <c r="B109" t="s">
        <v>60</v>
      </c>
      <c r="D109" s="121"/>
      <c r="E109" s="121"/>
      <c r="F109" s="120">
        <f>F74</f>
        <v>791.57599999999968</v>
      </c>
      <c r="G109" s="120">
        <f>G74</f>
        <v>837.49900000000002</v>
      </c>
      <c r="H109" s="120">
        <f t="shared" ref="H109:K109" si="29">H74</f>
        <v>1073.354</v>
      </c>
      <c r="I109" s="120">
        <f t="shared" si="29"/>
        <v>1184.837</v>
      </c>
      <c r="J109" s="120">
        <f t="shared" si="29"/>
        <v>1216.8050000000003</v>
      </c>
      <c r="K109" s="120">
        <f t="shared" si="29"/>
        <v>1430.8889999999997</v>
      </c>
    </row>
    <row r="110" spans="1:13" x14ac:dyDescent="0.2">
      <c r="B110" t="s">
        <v>65</v>
      </c>
      <c r="D110" s="121"/>
      <c r="E110" s="121"/>
      <c r="F110" s="120">
        <f>F101</f>
        <v>79.221999999999994</v>
      </c>
      <c r="G110" s="120">
        <f>G101</f>
        <v>70.825000000000003</v>
      </c>
      <c r="H110" s="120">
        <f t="shared" ref="H110:K110" si="30">H101</f>
        <v>75.843999999999994</v>
      </c>
      <c r="I110" s="120">
        <f t="shared" si="30"/>
        <v>231.631</v>
      </c>
      <c r="J110" s="120">
        <f t="shared" si="30"/>
        <v>241.78800000000001</v>
      </c>
      <c r="K110" s="120">
        <f t="shared" si="30"/>
        <v>290.75200000000001</v>
      </c>
    </row>
    <row r="111" spans="1:13" x14ac:dyDescent="0.2">
      <c r="B111" t="s">
        <v>71</v>
      </c>
      <c r="D111" s="121"/>
      <c r="E111" s="121"/>
      <c r="F111" s="120">
        <f>F104</f>
        <v>-118.1</v>
      </c>
      <c r="G111" s="120">
        <f>G104</f>
        <v>-32.704999999999998</v>
      </c>
      <c r="H111" s="120">
        <f t="shared" ref="H111:K111" si="31">H104</f>
        <v>-84.89</v>
      </c>
      <c r="I111" s="120">
        <f t="shared" si="31"/>
        <v>-126.11799999999999</v>
      </c>
      <c r="J111" s="120">
        <f t="shared" si="31"/>
        <v>-126.61499999999999</v>
      </c>
      <c r="K111" s="120">
        <f t="shared" si="31"/>
        <v>-120.02500000000001</v>
      </c>
    </row>
    <row r="112" spans="1:13" x14ac:dyDescent="0.2">
      <c r="B112" t="s">
        <v>72</v>
      </c>
      <c r="D112" s="121"/>
      <c r="E112" s="121"/>
      <c r="F112" s="120">
        <f>F98</f>
        <v>-104.45699999999999</v>
      </c>
      <c r="G112" s="120">
        <f>G98</f>
        <v>-150.24700000000001</v>
      </c>
      <c r="H112" s="120">
        <f t="shared" ref="H112:K112" si="32">H98</f>
        <v>-142.10300000000001</v>
      </c>
      <c r="I112" s="120">
        <f t="shared" si="32"/>
        <v>42.241999999999997</v>
      </c>
      <c r="J112" s="120">
        <f t="shared" si="32"/>
        <v>-45.319000000000003</v>
      </c>
      <c r="K112" s="120">
        <f t="shared" si="32"/>
        <v>-150.11000000000001</v>
      </c>
    </row>
    <row r="113" spans="1:13 16384:16384" x14ac:dyDescent="0.2">
      <c r="B113" s="3" t="s">
        <v>73</v>
      </c>
      <c r="C113" s="3"/>
      <c r="D113" s="122"/>
      <c r="E113" s="122"/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</row>
    <row r="114" spans="1:13 16384:16384" x14ac:dyDescent="0.2">
      <c r="B114" s="7" t="s">
        <v>70</v>
      </c>
      <c r="C114" s="7"/>
      <c r="D114" s="7"/>
      <c r="E114" s="7"/>
      <c r="F114" s="46">
        <f>F109+F110-F111-F112-F113</f>
        <v>1093.3549999999996</v>
      </c>
      <c r="G114" s="46">
        <f>G109+G110-G111-G112-G113</f>
        <v>1091.2760000000001</v>
      </c>
      <c r="H114" s="46">
        <f t="shared" ref="H114:K114" si="33">H109+H110-H111-H112-H113</f>
        <v>1376.1910000000003</v>
      </c>
      <c r="I114" s="46">
        <f t="shared" si="33"/>
        <v>1500.3440000000001</v>
      </c>
      <c r="J114" s="46">
        <f t="shared" si="33"/>
        <v>1630.5270000000003</v>
      </c>
      <c r="K114" s="46">
        <f t="shared" si="33"/>
        <v>1991.7759999999998</v>
      </c>
    </row>
    <row r="116" spans="1:13 16384:16384" x14ac:dyDescent="0.2">
      <c r="A116" s="4" t="s">
        <v>0</v>
      </c>
      <c r="B116" s="5" t="s">
        <v>74</v>
      </c>
      <c r="C116" s="5"/>
      <c r="D116" s="5"/>
      <c r="E116" s="5"/>
      <c r="F116" s="5"/>
      <c r="G116" s="5"/>
      <c r="H116" s="5"/>
      <c r="I116" s="5"/>
      <c r="J116" s="5"/>
      <c r="K116" s="5"/>
      <c r="M116" s="52"/>
    </row>
    <row r="117" spans="1:13 16384:16384" ht="5" customHeight="1" x14ac:dyDescent="0.2"/>
    <row r="118" spans="1:13 16384:16384" x14ac:dyDescent="0.2">
      <c r="B118" s="6" t="s">
        <v>75</v>
      </c>
      <c r="C118" s="6"/>
      <c r="D118" s="50">
        <v>2015</v>
      </c>
      <c r="E118" s="50">
        <f>D118+1</f>
        <v>2016</v>
      </c>
      <c r="F118" s="50">
        <f t="shared" ref="F118" si="34">E118+1</f>
        <v>2017</v>
      </c>
      <c r="G118" s="50">
        <v>2018</v>
      </c>
      <c r="H118" s="50">
        <v>2019</v>
      </c>
      <c r="I118" s="50">
        <v>2020</v>
      </c>
      <c r="J118" s="50">
        <v>2021</v>
      </c>
      <c r="K118" s="50">
        <v>2022</v>
      </c>
    </row>
    <row r="119" spans="1:13 16384:16384" x14ac:dyDescent="0.2">
      <c r="B119" s="73" t="s">
        <v>14</v>
      </c>
    </row>
    <row r="120" spans="1:13 16384:16384" x14ac:dyDescent="0.2">
      <c r="B120" s="8" t="s">
        <v>76</v>
      </c>
      <c r="F120" s="131">
        <f>E18</f>
        <v>121.9</v>
      </c>
      <c r="G120" s="45">
        <f>F122</f>
        <v>121.9</v>
      </c>
      <c r="H120" s="45">
        <f t="shared" ref="H120:K120" si="35">G122</f>
        <v>121.9</v>
      </c>
      <c r="I120" s="45">
        <f t="shared" si="35"/>
        <v>121.9</v>
      </c>
      <c r="J120" s="45">
        <f t="shared" si="35"/>
        <v>121.9</v>
      </c>
      <c r="K120" s="45">
        <f t="shared" si="35"/>
        <v>121.9</v>
      </c>
    </row>
    <row r="121" spans="1:13 16384:16384" x14ac:dyDescent="0.2">
      <c r="B121" s="8" t="s">
        <v>77</v>
      </c>
      <c r="F121" s="125">
        <v>0</v>
      </c>
      <c r="G121" s="125">
        <v>0</v>
      </c>
      <c r="H121" s="125">
        <v>0</v>
      </c>
      <c r="I121" s="125">
        <v>0</v>
      </c>
      <c r="J121" s="125">
        <v>0</v>
      </c>
      <c r="K121" s="125">
        <v>0</v>
      </c>
    </row>
    <row r="122" spans="1:13 16384:16384" x14ac:dyDescent="0.2">
      <c r="B122" s="85" t="s">
        <v>78</v>
      </c>
      <c r="E122" s="45">
        <f>E17</f>
        <v>2591.3000000000002</v>
      </c>
      <c r="F122" s="126">
        <f>F120-F121</f>
        <v>121.9</v>
      </c>
      <c r="G122" s="126">
        <f>G120-G121</f>
        <v>121.9</v>
      </c>
      <c r="H122" s="126">
        <f t="shared" ref="H122:K122" si="36">H120-H121</f>
        <v>121.9</v>
      </c>
      <c r="I122" s="126">
        <f t="shared" si="36"/>
        <v>121.9</v>
      </c>
      <c r="J122" s="126">
        <f t="shared" si="36"/>
        <v>121.9</v>
      </c>
      <c r="K122" s="126">
        <f t="shared" si="36"/>
        <v>121.9</v>
      </c>
      <c r="XFD122" s="48">
        <f>XFD120+XFD121</f>
        <v>0</v>
      </c>
    </row>
    <row r="123" spans="1:13 16384:16384" ht="5" customHeight="1" x14ac:dyDescent="0.2">
      <c r="F123" s="124"/>
    </row>
    <row r="124" spans="1:13 16384:16384" x14ac:dyDescent="0.2">
      <c r="B124" s="73" t="str">
        <f>B33</f>
        <v>Senior Secured Debt - Tranche 1</v>
      </c>
      <c r="F124" s="124"/>
    </row>
    <row r="125" spans="1:13 16384:16384" x14ac:dyDescent="0.2">
      <c r="B125" s="8" t="s">
        <v>76</v>
      </c>
      <c r="F125" s="45">
        <f>E127</f>
        <v>2625</v>
      </c>
      <c r="G125" s="45">
        <f>F127</f>
        <v>1531.6450000000004</v>
      </c>
      <c r="H125" s="45">
        <f t="shared" ref="H125:K125" si="37">G127</f>
        <v>440.36900000000037</v>
      </c>
      <c r="I125" s="45">
        <f t="shared" si="37"/>
        <v>0</v>
      </c>
      <c r="J125" s="45">
        <f t="shared" si="37"/>
        <v>0</v>
      </c>
      <c r="K125" s="45">
        <f t="shared" si="37"/>
        <v>0</v>
      </c>
    </row>
    <row r="126" spans="1:13 16384:16384" x14ac:dyDescent="0.2">
      <c r="B126" s="8" t="s">
        <v>79</v>
      </c>
      <c r="F126" s="45">
        <f>MIN(F114,F125)</f>
        <v>1093.3549999999996</v>
      </c>
      <c r="G126" s="45">
        <f>MIN(G114,G125)</f>
        <v>1091.2760000000001</v>
      </c>
      <c r="H126" s="45">
        <f t="shared" ref="H126:K126" si="38">MIN(H114,H125)</f>
        <v>440.36900000000037</v>
      </c>
      <c r="I126" s="45">
        <f t="shared" si="38"/>
        <v>0</v>
      </c>
      <c r="J126" s="45">
        <f t="shared" si="38"/>
        <v>0</v>
      </c>
      <c r="K126" s="45">
        <f t="shared" si="38"/>
        <v>0</v>
      </c>
    </row>
    <row r="127" spans="1:13 16384:16384" x14ac:dyDescent="0.2">
      <c r="B127" s="85" t="s">
        <v>78</v>
      </c>
      <c r="E127" s="45">
        <f>D33</f>
        <v>2625</v>
      </c>
      <c r="F127" s="126">
        <f>F125-F126</f>
        <v>1531.6450000000004</v>
      </c>
      <c r="G127" s="126">
        <f>G125-G126</f>
        <v>440.36900000000037</v>
      </c>
      <c r="H127" s="126">
        <f t="shared" ref="H127:K127" si="39">H125-H126</f>
        <v>0</v>
      </c>
      <c r="I127" s="126">
        <f t="shared" si="39"/>
        <v>0</v>
      </c>
      <c r="J127" s="126">
        <f t="shared" si="39"/>
        <v>0</v>
      </c>
      <c r="K127" s="126">
        <f t="shared" si="39"/>
        <v>0</v>
      </c>
    </row>
    <row r="128" spans="1:13 16384:16384" ht="5" customHeight="1" x14ac:dyDescent="0.2">
      <c r="B128" s="7"/>
      <c r="F128" s="124"/>
    </row>
    <row r="129" spans="1:11" x14ac:dyDescent="0.2">
      <c r="A129" s="4" t="s">
        <v>0</v>
      </c>
      <c r="B129" s="73" t="str">
        <f>B34</f>
        <v>Junior Unsecured Debt - Tranche 2</v>
      </c>
      <c r="F129" s="124"/>
    </row>
    <row r="130" spans="1:11" x14ac:dyDescent="0.2">
      <c r="B130" s="8" t="s">
        <v>76</v>
      </c>
      <c r="F130" s="45">
        <f>E132</f>
        <v>1750</v>
      </c>
      <c r="G130" s="45">
        <f>F132</f>
        <v>1750</v>
      </c>
      <c r="H130" s="45">
        <f t="shared" ref="H130:K130" si="40">G132</f>
        <v>1750</v>
      </c>
      <c r="I130" s="45">
        <f t="shared" si="40"/>
        <v>814.17800000000011</v>
      </c>
      <c r="J130" s="45">
        <f t="shared" si="40"/>
        <v>0</v>
      </c>
      <c r="K130" s="45">
        <f t="shared" si="40"/>
        <v>0</v>
      </c>
    </row>
    <row r="131" spans="1:11" x14ac:dyDescent="0.2">
      <c r="B131" s="8" t="s">
        <v>79</v>
      </c>
      <c r="F131" s="45">
        <f>MIN(F130,F114-F126)</f>
        <v>0</v>
      </c>
      <c r="G131" s="45">
        <f>MIN(G130,G114-G126)</f>
        <v>0</v>
      </c>
      <c r="H131" s="45">
        <f t="shared" ref="H131:K131" si="41">MIN(H130,H114-H126)</f>
        <v>935.82199999999989</v>
      </c>
      <c r="I131" s="45">
        <f t="shared" si="41"/>
        <v>814.17800000000011</v>
      </c>
      <c r="J131" s="45">
        <f t="shared" si="41"/>
        <v>0</v>
      </c>
      <c r="K131" s="45">
        <f t="shared" si="41"/>
        <v>0</v>
      </c>
    </row>
    <row r="132" spans="1:11" x14ac:dyDescent="0.2">
      <c r="B132" s="85" t="s">
        <v>78</v>
      </c>
      <c r="E132" s="45">
        <f>D34</f>
        <v>1750</v>
      </c>
      <c r="F132" s="126">
        <f>F130-F131</f>
        <v>1750</v>
      </c>
      <c r="G132" s="126">
        <f>G130-G131</f>
        <v>1750</v>
      </c>
      <c r="H132" s="126">
        <f t="shared" ref="H132:K132" si="42">H130-H131</f>
        <v>814.17800000000011</v>
      </c>
      <c r="I132" s="126">
        <f t="shared" si="42"/>
        <v>0</v>
      </c>
      <c r="J132" s="126">
        <f t="shared" si="42"/>
        <v>0</v>
      </c>
      <c r="K132" s="126">
        <f t="shared" si="42"/>
        <v>0</v>
      </c>
    </row>
    <row r="134" spans="1:11" x14ac:dyDescent="0.2">
      <c r="A134" s="4" t="s">
        <v>0</v>
      </c>
      <c r="B134" s="86" t="s">
        <v>80</v>
      </c>
      <c r="C134" s="71"/>
      <c r="D134" s="71"/>
      <c r="E134" s="71"/>
      <c r="F134" s="71"/>
      <c r="G134" s="71"/>
      <c r="H134" s="71"/>
      <c r="I134" s="71"/>
      <c r="J134" s="71"/>
      <c r="K134" s="127"/>
    </row>
    <row r="135" spans="1:11" x14ac:dyDescent="0.2">
      <c r="B135" s="87" t="s">
        <v>76</v>
      </c>
      <c r="C135" s="88"/>
      <c r="D135" s="88"/>
      <c r="E135" s="88"/>
      <c r="F135" s="129">
        <f t="shared" ref="F135:G137" si="43">F120+F125+F130</f>
        <v>4496.8999999999996</v>
      </c>
      <c r="G135" s="129">
        <f t="shared" si="43"/>
        <v>3403.5450000000005</v>
      </c>
      <c r="H135" s="129">
        <f t="shared" ref="H135:K135" si="44">H120+H125+H130</f>
        <v>2312.2690000000002</v>
      </c>
      <c r="I135" s="129">
        <f t="shared" si="44"/>
        <v>936.07800000000009</v>
      </c>
      <c r="J135" s="129">
        <f t="shared" si="44"/>
        <v>121.9</v>
      </c>
      <c r="K135" s="130">
        <f t="shared" si="44"/>
        <v>121.9</v>
      </c>
    </row>
    <row r="136" spans="1:11" x14ac:dyDescent="0.2">
      <c r="B136" s="87" t="s">
        <v>79</v>
      </c>
      <c r="C136" s="88"/>
      <c r="D136" s="88"/>
      <c r="E136" s="88"/>
      <c r="F136" s="129">
        <f t="shared" si="43"/>
        <v>1093.3549999999996</v>
      </c>
      <c r="G136" s="129">
        <f t="shared" si="43"/>
        <v>1091.2760000000001</v>
      </c>
      <c r="H136" s="129">
        <f t="shared" ref="H136:K136" si="45">H121+H126+H131</f>
        <v>1376.1910000000003</v>
      </c>
      <c r="I136" s="129">
        <f t="shared" si="45"/>
        <v>814.17800000000011</v>
      </c>
      <c r="J136" s="129">
        <f t="shared" si="45"/>
        <v>0</v>
      </c>
      <c r="K136" s="130">
        <f t="shared" si="45"/>
        <v>0</v>
      </c>
    </row>
    <row r="137" spans="1:11" x14ac:dyDescent="0.2">
      <c r="B137" s="65" t="s">
        <v>78</v>
      </c>
      <c r="C137" s="72"/>
      <c r="D137" s="72"/>
      <c r="E137" s="89">
        <f>E122+E127+E132</f>
        <v>6966.3</v>
      </c>
      <c r="F137" s="89">
        <f t="shared" si="43"/>
        <v>3403.5450000000005</v>
      </c>
      <c r="G137" s="89">
        <f t="shared" si="43"/>
        <v>2312.2690000000002</v>
      </c>
      <c r="H137" s="89">
        <f t="shared" ref="H137:K137" si="46">H122+H127+H132</f>
        <v>936.07800000000009</v>
      </c>
      <c r="I137" s="89">
        <f t="shared" si="46"/>
        <v>121.9</v>
      </c>
      <c r="J137" s="89">
        <f t="shared" si="46"/>
        <v>121.9</v>
      </c>
      <c r="K137" s="128">
        <f t="shared" si="46"/>
        <v>121.9</v>
      </c>
    </row>
    <row r="138" spans="1:11" x14ac:dyDescent="0.2">
      <c r="B138" s="90" t="s">
        <v>81</v>
      </c>
      <c r="C138" s="90"/>
      <c r="D138" s="90"/>
      <c r="E138" s="90"/>
      <c r="F138" s="91" t="b">
        <f>F135-F137=F136</f>
        <v>1</v>
      </c>
      <c r="G138" s="91" t="b">
        <f t="shared" ref="G138:K138" si="47">G135-G137=G136</f>
        <v>1</v>
      </c>
      <c r="H138" s="91" t="b">
        <f t="shared" si="47"/>
        <v>1</v>
      </c>
      <c r="I138" s="91" t="b">
        <f t="shared" si="47"/>
        <v>1</v>
      </c>
      <c r="J138" s="91" t="b">
        <f t="shared" si="47"/>
        <v>1</v>
      </c>
      <c r="K138" s="91" t="b">
        <f t="shared" si="47"/>
        <v>1</v>
      </c>
    </row>
    <row r="139" spans="1:11" ht="5" customHeight="1" x14ac:dyDescent="0.2"/>
    <row r="140" spans="1:11" x14ac:dyDescent="0.2">
      <c r="B140" s="6" t="s">
        <v>82</v>
      </c>
      <c r="C140" s="6"/>
      <c r="D140" s="50">
        <v>2015</v>
      </c>
      <c r="E140" s="50">
        <f>D140+1</f>
        <v>2016</v>
      </c>
      <c r="F140" s="50">
        <f t="shared" ref="F140" si="48">E140+1</f>
        <v>2017</v>
      </c>
      <c r="G140" s="50">
        <v>2018</v>
      </c>
      <c r="H140" s="50">
        <v>2019</v>
      </c>
      <c r="I140" s="50">
        <v>2020</v>
      </c>
      <c r="J140" s="50">
        <v>2021</v>
      </c>
      <c r="K140" s="50">
        <v>2022</v>
      </c>
    </row>
    <row r="141" spans="1:11" x14ac:dyDescent="0.2">
      <c r="B141" t="s">
        <v>14</v>
      </c>
      <c r="E141" s="117">
        <v>64.602999999999994</v>
      </c>
      <c r="F141" s="19">
        <f>AVERAGE(F120,F122)*F142</f>
        <v>2.4380000000000002</v>
      </c>
      <c r="G141" s="19">
        <f>AVERAGE(G120,G122)*G142</f>
        <v>2.4380000000000002</v>
      </c>
      <c r="H141" s="19">
        <f t="shared" ref="H141:K141" si="49">AVERAGE(H120,H122)*H142</f>
        <v>2.4380000000000002</v>
      </c>
      <c r="I141" s="19">
        <f t="shared" si="49"/>
        <v>2.4380000000000002</v>
      </c>
      <c r="J141" s="19">
        <f t="shared" si="49"/>
        <v>2.4380000000000002</v>
      </c>
      <c r="K141" s="19">
        <f t="shared" si="49"/>
        <v>2.4380000000000002</v>
      </c>
    </row>
    <row r="142" spans="1:11" x14ac:dyDescent="0.2">
      <c r="B142" s="69" t="s">
        <v>83</v>
      </c>
      <c r="E142" s="132">
        <f>E141/E122</f>
        <v>2.4930729749546555E-2</v>
      </c>
      <c r="F142" s="132">
        <v>0.02</v>
      </c>
      <c r="G142" s="132">
        <v>0.02</v>
      </c>
      <c r="H142" s="132">
        <v>0.02</v>
      </c>
      <c r="I142" s="132">
        <v>0.02</v>
      </c>
      <c r="J142" s="132">
        <v>0.02</v>
      </c>
      <c r="K142" s="132">
        <v>0.02</v>
      </c>
    </row>
    <row r="144" spans="1:11" x14ac:dyDescent="0.2">
      <c r="B144" t="str">
        <f>B24</f>
        <v>Senior Secured Debt - Tranche 1</v>
      </c>
      <c r="F144" s="115">
        <f>AVERAGE(F125,F127)*F145</f>
        <v>176.65741250000002</v>
      </c>
      <c r="G144" s="115">
        <f>AVERAGE(G125,G127)*G145</f>
        <v>83.810595000000035</v>
      </c>
      <c r="H144" s="115">
        <f t="shared" ref="H144:K144" si="50">AVERAGE(H125,H127)*H145</f>
        <v>18.715682500000018</v>
      </c>
      <c r="I144" s="115">
        <f t="shared" si="50"/>
        <v>0</v>
      </c>
      <c r="J144" s="115">
        <f t="shared" si="50"/>
        <v>0</v>
      </c>
      <c r="K144" s="115">
        <f t="shared" si="50"/>
        <v>0</v>
      </c>
    </row>
    <row r="145" spans="1:12" x14ac:dyDescent="0.2">
      <c r="B145" s="69" t="s">
        <v>84</v>
      </c>
      <c r="E145" s="133"/>
      <c r="F145" s="133">
        <f t="shared" ref="F145:K145" si="51">$G$24</f>
        <v>8.5000000000000006E-2</v>
      </c>
      <c r="G145" s="133">
        <f t="shared" si="51"/>
        <v>8.5000000000000006E-2</v>
      </c>
      <c r="H145" s="133">
        <f t="shared" si="51"/>
        <v>8.5000000000000006E-2</v>
      </c>
      <c r="I145" s="133">
        <f t="shared" si="51"/>
        <v>8.5000000000000006E-2</v>
      </c>
      <c r="J145" s="133">
        <f t="shared" si="51"/>
        <v>8.5000000000000006E-2</v>
      </c>
      <c r="K145" s="133">
        <f t="shared" si="51"/>
        <v>8.5000000000000006E-2</v>
      </c>
    </row>
    <row r="147" spans="1:12" x14ac:dyDescent="0.2">
      <c r="B147" t="str">
        <f>B25</f>
        <v>Junior Unsecured Debt - Tranche 2</v>
      </c>
      <c r="F147" s="115">
        <f>AVERAGE(F130,F132)*F148</f>
        <v>183.75</v>
      </c>
      <c r="G147" s="115">
        <f>AVERAGE(G130,G132)*G148</f>
        <v>183.75</v>
      </c>
      <c r="H147" s="115">
        <f t="shared" ref="H147:K147" si="52">AVERAGE(H130,H132)*H148</f>
        <v>134.61934499999998</v>
      </c>
      <c r="I147" s="115">
        <f t="shared" si="52"/>
        <v>42.744345000000003</v>
      </c>
      <c r="J147" s="115">
        <f t="shared" si="52"/>
        <v>0</v>
      </c>
      <c r="K147" s="115">
        <f t="shared" si="52"/>
        <v>0</v>
      </c>
    </row>
    <row r="148" spans="1:12" x14ac:dyDescent="0.2">
      <c r="B148" s="69" t="s">
        <v>84</v>
      </c>
      <c r="E148" s="133"/>
      <c r="F148" s="133">
        <f t="shared" ref="F148:K148" si="53">$G$25</f>
        <v>0.105</v>
      </c>
      <c r="G148" s="133">
        <f t="shared" si="53"/>
        <v>0.105</v>
      </c>
      <c r="H148" s="133">
        <f t="shared" si="53"/>
        <v>0.105</v>
      </c>
      <c r="I148" s="133">
        <f t="shared" si="53"/>
        <v>0.105</v>
      </c>
      <c r="J148" s="133">
        <f t="shared" si="53"/>
        <v>0.105</v>
      </c>
      <c r="K148" s="133">
        <f t="shared" si="53"/>
        <v>0.105</v>
      </c>
    </row>
    <row r="150" spans="1:12" x14ac:dyDescent="0.2">
      <c r="B150" t="s">
        <v>85</v>
      </c>
      <c r="F150" s="19">
        <f>F141+F144+F147</f>
        <v>362.84541250000001</v>
      </c>
      <c r="G150" s="19">
        <f>G141+G144+G147</f>
        <v>269.99859500000002</v>
      </c>
      <c r="H150" s="19">
        <f t="shared" ref="H150:K150" si="54">H141+H144+H147</f>
        <v>155.77302750000001</v>
      </c>
      <c r="I150" s="19">
        <f t="shared" si="54"/>
        <v>45.182345000000005</v>
      </c>
      <c r="J150" s="19">
        <f t="shared" si="54"/>
        <v>2.4380000000000002</v>
      </c>
      <c r="K150" s="19">
        <f t="shared" si="54"/>
        <v>2.4380000000000002</v>
      </c>
    </row>
    <row r="151" spans="1:12" x14ac:dyDescent="0.2">
      <c r="B151" s="69" t="s">
        <v>86</v>
      </c>
      <c r="F151" s="9">
        <f>F150/F137</f>
        <v>0.10660808436497826</v>
      </c>
      <c r="G151" s="9">
        <f>G150/G137</f>
        <v>0.1167678133469765</v>
      </c>
      <c r="H151" s="9">
        <f t="shared" ref="H151:K151" si="55">H150/H137</f>
        <v>0.16641030715389102</v>
      </c>
      <c r="I151" s="9">
        <f t="shared" si="55"/>
        <v>0.37065090237899923</v>
      </c>
      <c r="J151" s="9">
        <f t="shared" si="55"/>
        <v>0.02</v>
      </c>
      <c r="K151" s="9">
        <f t="shared" si="55"/>
        <v>0.02</v>
      </c>
    </row>
    <row r="153" spans="1:12" x14ac:dyDescent="0.2">
      <c r="A153" s="4" t="s">
        <v>0</v>
      </c>
      <c r="B153" s="5" t="s">
        <v>87</v>
      </c>
      <c r="C153" s="5"/>
      <c r="D153" s="5"/>
      <c r="E153" s="5"/>
      <c r="F153" s="5"/>
      <c r="G153" s="5"/>
      <c r="H153" s="5"/>
      <c r="I153" s="5"/>
      <c r="J153" s="5"/>
      <c r="K153" s="5"/>
    </row>
    <row r="154" spans="1:12" ht="5" customHeight="1" x14ac:dyDescent="0.2"/>
    <row r="155" spans="1:12" x14ac:dyDescent="0.2">
      <c r="B155" t="s">
        <v>88</v>
      </c>
      <c r="K155" s="138">
        <v>1803</v>
      </c>
    </row>
    <row r="156" spans="1:12" x14ac:dyDescent="0.2">
      <c r="B156" s="3" t="s">
        <v>20</v>
      </c>
      <c r="C156" s="3"/>
      <c r="D156" s="3"/>
      <c r="E156" s="3"/>
      <c r="F156" s="3"/>
      <c r="G156" s="3"/>
      <c r="H156" s="3"/>
      <c r="I156" s="3"/>
      <c r="J156" s="3"/>
      <c r="K156" s="95">
        <f>E19</f>
        <v>6.7193733087557606</v>
      </c>
    </row>
    <row r="157" spans="1:12" x14ac:dyDescent="0.2">
      <c r="B157" s="7" t="s">
        <v>15</v>
      </c>
      <c r="C157" s="7"/>
      <c r="D157" s="7"/>
      <c r="E157" s="7"/>
      <c r="F157" s="7"/>
      <c r="G157" s="7"/>
      <c r="H157" s="7"/>
      <c r="I157" s="7"/>
      <c r="J157" s="7"/>
      <c r="K157" s="84">
        <f>K155*K156</f>
        <v>12115.030075686636</v>
      </c>
    </row>
    <row r="158" spans="1:12" x14ac:dyDescent="0.2">
      <c r="B158" t="s">
        <v>89</v>
      </c>
      <c r="K158" s="19">
        <f>K137</f>
        <v>121.9</v>
      </c>
      <c r="L158" t="s">
        <v>115</v>
      </c>
    </row>
    <row r="159" spans="1:12" x14ac:dyDescent="0.2">
      <c r="B159" s="96" t="s">
        <v>117</v>
      </c>
      <c r="C159" s="97"/>
      <c r="D159" s="97"/>
      <c r="E159" s="97"/>
      <c r="F159" s="97"/>
      <c r="G159" s="97"/>
      <c r="H159" s="97"/>
      <c r="I159" s="97"/>
      <c r="J159" s="97"/>
      <c r="K159" s="98">
        <f>K157-K158</f>
        <v>11993.130075686637</v>
      </c>
    </row>
    <row r="160" spans="1:12" ht="5" customHeight="1" x14ac:dyDescent="0.2"/>
    <row r="161" spans="1:11" x14ac:dyDescent="0.2">
      <c r="B161" t="s">
        <v>116</v>
      </c>
      <c r="K161" s="48">
        <f>D35</f>
        <v>3026</v>
      </c>
    </row>
    <row r="162" spans="1:11" ht="5" customHeight="1" x14ac:dyDescent="0.2"/>
    <row r="163" spans="1:11" x14ac:dyDescent="0.2">
      <c r="B163" s="60" t="s">
        <v>90</v>
      </c>
      <c r="C163" s="61"/>
      <c r="D163" s="61"/>
      <c r="E163" s="61"/>
      <c r="F163" s="61"/>
      <c r="G163" s="61"/>
      <c r="H163" s="61"/>
      <c r="I163" s="61"/>
      <c r="J163" s="61"/>
      <c r="K163" s="92">
        <f>K159/K161</f>
        <v>3.9633608974509706</v>
      </c>
    </row>
    <row r="164" spans="1:11" x14ac:dyDescent="0.2">
      <c r="A164" s="4" t="s">
        <v>0</v>
      </c>
      <c r="B164" s="93" t="s">
        <v>91</v>
      </c>
      <c r="C164" s="66"/>
      <c r="D164" s="66"/>
      <c r="E164" s="66"/>
      <c r="F164" s="66"/>
      <c r="G164" s="66"/>
      <c r="H164" s="66"/>
      <c r="I164" s="66"/>
      <c r="J164" s="66"/>
      <c r="K164" s="94">
        <f>K163^(1/5)-1</f>
        <v>0.31708172580620131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31F-2658-495D-9460-CA708F56769D}">
  <dimension ref="A2:G32"/>
  <sheetViews>
    <sheetView showGridLines="0" zoomScale="125" zoomScaleNormal="100" workbookViewId="0">
      <selection activeCell="E7" sqref="E7"/>
    </sheetView>
  </sheetViews>
  <sheetFormatPr baseColWidth="10" defaultColWidth="8.83203125" defaultRowHeight="15" x14ac:dyDescent="0.2"/>
  <cols>
    <col min="1" max="1" width="3.6640625" style="4" customWidth="1"/>
    <col min="2" max="2" width="36.5" bestFit="1" customWidth="1"/>
    <col min="3" max="5" width="15.83203125" customWidth="1"/>
  </cols>
  <sheetData>
    <row r="2" spans="1:5" s="3" customFormat="1" ht="21" x14ac:dyDescent="0.25">
      <c r="A2" s="1"/>
      <c r="B2" s="2" t="s">
        <v>30</v>
      </c>
    </row>
    <row r="3" spans="1:5" x14ac:dyDescent="0.2">
      <c r="B3" s="8"/>
    </row>
    <row r="4" spans="1:5" x14ac:dyDescent="0.2">
      <c r="A4" s="4" t="s">
        <v>0</v>
      </c>
      <c r="B4" s="20" t="s">
        <v>31</v>
      </c>
      <c r="C4" s="21"/>
      <c r="D4" s="21"/>
      <c r="E4" s="21"/>
    </row>
    <row r="5" spans="1:5" ht="5" customHeight="1" x14ac:dyDescent="0.2">
      <c r="B5" s="22"/>
      <c r="C5" s="23"/>
      <c r="D5" s="23"/>
      <c r="E5" s="23"/>
    </row>
    <row r="6" spans="1:5" x14ac:dyDescent="0.2">
      <c r="B6" s="24" t="s">
        <v>32</v>
      </c>
      <c r="E6" s="41">
        <f>'LBO '!K8</f>
        <v>457.54</v>
      </c>
    </row>
    <row r="7" spans="1:5" x14ac:dyDescent="0.2">
      <c r="B7" s="25" t="s">
        <v>33</v>
      </c>
      <c r="E7" s="12">
        <v>21.126000000000001</v>
      </c>
    </row>
    <row r="8" spans="1:5" x14ac:dyDescent="0.2">
      <c r="B8" s="24" t="s">
        <v>34</v>
      </c>
      <c r="E8" s="26">
        <f>E32</f>
        <v>0.15040000000000001</v>
      </c>
    </row>
    <row r="9" spans="1:5" x14ac:dyDescent="0.2">
      <c r="B9" s="24" t="s">
        <v>35</v>
      </c>
      <c r="E9" s="27">
        <f>SUMPRODUCT(D21:D30,E21:E30)</f>
        <v>65.457088000000013</v>
      </c>
    </row>
    <row r="10" spans="1:5" x14ac:dyDescent="0.2">
      <c r="B10" s="24" t="s">
        <v>36</v>
      </c>
      <c r="E10" s="27">
        <f>E9/E6</f>
        <v>0.14306309393714212</v>
      </c>
    </row>
    <row r="11" spans="1:5" x14ac:dyDescent="0.2">
      <c r="B11" s="24" t="s">
        <v>37</v>
      </c>
      <c r="E11" s="27">
        <f>E8-E10</f>
        <v>7.3369060628578897E-3</v>
      </c>
    </row>
    <row r="12" spans="1:5" x14ac:dyDescent="0.2">
      <c r="B12" s="24" t="s">
        <v>38</v>
      </c>
      <c r="E12" s="12">
        <v>0</v>
      </c>
    </row>
    <row r="13" spans="1:5" x14ac:dyDescent="0.2">
      <c r="B13" s="24"/>
      <c r="E13" s="28"/>
    </row>
    <row r="14" spans="1:5" x14ac:dyDescent="0.2">
      <c r="B14" s="24" t="s">
        <v>39</v>
      </c>
      <c r="E14" s="12">
        <v>0</v>
      </c>
    </row>
    <row r="15" spans="1:5" x14ac:dyDescent="0.2">
      <c r="B15" s="8"/>
      <c r="E15" s="28"/>
    </row>
    <row r="16" spans="1:5" x14ac:dyDescent="0.2">
      <c r="B16" s="29" t="s">
        <v>40</v>
      </c>
      <c r="D16" s="30"/>
      <c r="E16" s="31">
        <f>E7+E14</f>
        <v>21.126000000000001</v>
      </c>
    </row>
    <row r="17" spans="1:7" x14ac:dyDescent="0.2">
      <c r="B17" s="29"/>
      <c r="D17" s="30"/>
      <c r="E17" s="27"/>
    </row>
    <row r="18" spans="1:7" x14ac:dyDescent="0.2">
      <c r="A18" s="4" t="s">
        <v>0</v>
      </c>
      <c r="B18" s="20" t="s">
        <v>41</v>
      </c>
      <c r="C18" s="21"/>
      <c r="D18" s="21"/>
      <c r="E18" s="21"/>
    </row>
    <row r="19" spans="1:7" ht="5" customHeight="1" x14ac:dyDescent="0.2">
      <c r="B19" s="22"/>
      <c r="C19" s="23"/>
      <c r="D19" s="23"/>
      <c r="E19" s="23"/>
    </row>
    <row r="20" spans="1:7" x14ac:dyDescent="0.2">
      <c r="C20" s="14" t="s">
        <v>42</v>
      </c>
      <c r="D20" s="14" t="s">
        <v>43</v>
      </c>
      <c r="E20" s="14" t="s">
        <v>44</v>
      </c>
    </row>
    <row r="21" spans="1:7" x14ac:dyDescent="0.2">
      <c r="B21" s="32">
        <v>1</v>
      </c>
      <c r="C21" s="12">
        <v>0.15040000000000001</v>
      </c>
      <c r="D21" s="11">
        <v>435.22</v>
      </c>
      <c r="E21" s="33">
        <f>IF(D21&lt;$E$6,C21)</f>
        <v>0.15040000000000001</v>
      </c>
      <c r="G21" s="42"/>
    </row>
    <row r="22" spans="1:7" x14ac:dyDescent="0.2">
      <c r="B22" s="32">
        <f t="shared" ref="B22:B30" si="0">B21+1</f>
        <v>2</v>
      </c>
      <c r="C22" s="12"/>
      <c r="D22" s="12"/>
      <c r="E22" s="34">
        <f t="shared" ref="E22:E30" si="1">IF(D22&lt;$E$6,C22)</f>
        <v>0</v>
      </c>
    </row>
    <row r="23" spans="1:7" x14ac:dyDescent="0.2">
      <c r="B23" s="32">
        <f t="shared" si="0"/>
        <v>3</v>
      </c>
      <c r="C23" s="12"/>
      <c r="D23" s="12"/>
      <c r="E23" s="34">
        <f t="shared" si="1"/>
        <v>0</v>
      </c>
    </row>
    <row r="24" spans="1:7" x14ac:dyDescent="0.2">
      <c r="B24" s="32">
        <f t="shared" si="0"/>
        <v>4</v>
      </c>
      <c r="C24" s="12"/>
      <c r="D24" s="12"/>
      <c r="E24" s="34">
        <f t="shared" si="1"/>
        <v>0</v>
      </c>
    </row>
    <row r="25" spans="1:7" x14ac:dyDescent="0.2">
      <c r="B25" s="32">
        <f t="shared" si="0"/>
        <v>5</v>
      </c>
      <c r="C25" s="12"/>
      <c r="D25" s="12"/>
      <c r="E25" s="34">
        <f t="shared" si="1"/>
        <v>0</v>
      </c>
    </row>
    <row r="26" spans="1:7" x14ac:dyDescent="0.2">
      <c r="B26" s="32">
        <f t="shared" si="0"/>
        <v>6</v>
      </c>
      <c r="C26" s="12"/>
      <c r="D26" s="12"/>
      <c r="E26" s="34">
        <f t="shared" si="1"/>
        <v>0</v>
      </c>
    </row>
    <row r="27" spans="1:7" x14ac:dyDescent="0.2">
      <c r="B27" s="32">
        <f t="shared" si="0"/>
        <v>7</v>
      </c>
      <c r="C27" s="12"/>
      <c r="D27" s="12"/>
      <c r="E27" s="34">
        <f t="shared" si="1"/>
        <v>0</v>
      </c>
    </row>
    <row r="28" spans="1:7" x14ac:dyDescent="0.2">
      <c r="B28" s="32">
        <f t="shared" si="0"/>
        <v>8</v>
      </c>
      <c r="C28" s="12"/>
      <c r="D28" s="12"/>
      <c r="E28" s="34">
        <f t="shared" si="1"/>
        <v>0</v>
      </c>
    </row>
    <row r="29" spans="1:7" x14ac:dyDescent="0.2">
      <c r="B29" s="32">
        <f t="shared" si="0"/>
        <v>9</v>
      </c>
      <c r="C29" s="12"/>
      <c r="D29" s="12"/>
      <c r="E29" s="34">
        <f t="shared" si="1"/>
        <v>0</v>
      </c>
    </row>
    <row r="30" spans="1:7" x14ac:dyDescent="0.2">
      <c r="B30" s="32">
        <f t="shared" si="0"/>
        <v>10</v>
      </c>
      <c r="C30" s="12"/>
      <c r="D30" s="12"/>
      <c r="E30" s="34">
        <f t="shared" si="1"/>
        <v>0</v>
      </c>
    </row>
    <row r="31" spans="1:7" ht="5" customHeight="1" x14ac:dyDescent="0.2">
      <c r="B31" s="35"/>
      <c r="C31" s="36"/>
      <c r="D31" s="36"/>
      <c r="E31" s="37"/>
    </row>
    <row r="32" spans="1:7" x14ac:dyDescent="0.2">
      <c r="A32" s="4" t="s">
        <v>0</v>
      </c>
      <c r="B32" s="38" t="s">
        <v>29</v>
      </c>
      <c r="C32" s="39"/>
      <c r="D32" s="39"/>
      <c r="E32" s="40">
        <f>SUM(E21:E30)</f>
        <v>0.15040000000000001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LBO 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Nalin Arora</cp:lastModifiedBy>
  <dcterms:created xsi:type="dcterms:W3CDTF">2024-07-17T20:30:35Z</dcterms:created>
  <dcterms:modified xsi:type="dcterms:W3CDTF">2026-09-05T18:41:14Z</dcterms:modified>
</cp:coreProperties>
</file>